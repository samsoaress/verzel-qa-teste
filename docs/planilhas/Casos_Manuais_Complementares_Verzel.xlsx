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a" sheetId="1" state="visible" r:id="rId3"/>
    <sheet name="Casos Manuais (fluxo)" sheetId="2" state="visible" r:id="rId4"/>
    <sheet name="Resumo" sheetId="3" state="visible" r:id="rId5"/>
  </sheets>
  <definedNames>
    <definedName function="false" hidden="true" localSheetId="1" name="_xlnm._FilterDatabase" vbProcedure="false">'Casos Manuais (fluxo)'!$A$1:$J$40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<sst xmlns="http://schemas.openxmlformats.org/spreadsheetml/2006/main" count="279" uniqueCount="195">
  <si>
    <t xml:space="preserve">Casos manuais complementares: Verzel Store (VZS-142)</t>
  </si>
  <si>
    <t xml:space="preserve">Conteúdo</t>
  </si>
  <si>
    <t xml:space="preserve">CT-001 a CT-005: seu fluxo básico (CT-005 ajustado para aplicar BEMVINDO10). CT-006 a CT-039: listagem, carrinho, navegação, pedido concluído e compatibilidade.</t>
  </si>
  <si>
    <t xml:space="preserve">Como preencher</t>
  </si>
  <si>
    <t xml:space="preserve">Colunas amarelas: Resultado obtido (o que a loja mostrou, com valores), Status (lista), Bug, Evidência e Data.</t>
  </si>
  <si>
    <t xml:space="preserve">Status</t>
  </si>
  <si>
    <t xml:space="preserve">Passou, Falhou, Bloqueado, Dúvida, N/A (funcionalidade que não existe na loja) ou Não executado.</t>
  </si>
  <si>
    <t xml:space="preserve">Não é bug</t>
  </si>
  <si>
    <t xml:space="preserve">Carrinho só na aba, pedidos fictícios, sem e-mail nem cobrança, sem estoque (seção 'Sobre este ambiente' da documentação).</t>
  </si>
  <si>
    <t xml:space="preserve">Numeração</t>
  </si>
  <si>
    <t xml:space="preserve">Os casos de cupom, frete, quantidade e checkout detalhados estão na planilha anterior (Planilha_Testes_Verzel_Store.xlsx), com IDs CT-A1, CT-B1 etc. Não se misturam com estes.</t>
  </si>
  <si>
    <t xml:space="preserve">Premissa</t>
  </si>
  <si>
    <t xml:space="preserve">CT-013 e CT-016 usam preços da documentação (Camiseta 59,90 + Boné 49,90 = 109,80; soma dos 8 produtos = 849,40).</t>
  </si>
  <si>
    <t xml:space="preserve">ID</t>
  </si>
  <si>
    <t xml:space="preserve">Grupo</t>
  </si>
  <si>
    <t xml:space="preserve">Cenário</t>
  </si>
  <si>
    <t xml:space="preserve">Passos</t>
  </si>
  <si>
    <t xml:space="preserve">Resultado esperado</t>
  </si>
  <si>
    <t xml:space="preserve">Resultado obtido</t>
  </si>
  <si>
    <t xml:space="preserve">Bug</t>
  </si>
  <si>
    <t xml:space="preserve">Evidência (arquivo)</t>
  </si>
  <si>
    <t xml:space="preserve">Data</t>
  </si>
  <si>
    <t xml:space="preserve">CT-001</t>
  </si>
  <si>
    <t xml:space="preserve">0. Fluxo básico</t>
  </si>
  <si>
    <t xml:space="preserve">Acessar loja</t>
  </si>
  <si>
    <t xml:space="preserve">Abrir https://verzel-store.qa-test-verzel-store.workers.dev/</t>
  </si>
  <si>
    <t xml:space="preserve">Loja carregada, sem erro visível</t>
  </si>
  <si>
    <t xml:space="preserve">Não executado</t>
  </si>
  <si>
    <t xml:space="preserve">CT-002</t>
  </si>
  <si>
    <t xml:space="preserve">Visualizar produtos</t>
  </si>
  <si>
    <t xml:space="preserve">Observar a página inicial</t>
  </si>
  <si>
    <t xml:space="preserve">Produtos exibidos</t>
  </si>
  <si>
    <t xml:space="preserve">CT-003</t>
  </si>
  <si>
    <t xml:space="preserve">Adicionar produto</t>
  </si>
  <si>
    <t xml:space="preserve">Clicar em Adicionar em um produto e abrir o carrinho</t>
  </si>
  <si>
    <t xml:space="preserve">Produto aparece no carrinho</t>
  </si>
  <si>
    <t xml:space="preserve">CT-004</t>
  </si>
  <si>
    <t xml:space="preserve">Alterar quantidade</t>
  </si>
  <si>
    <t xml:space="preserve">No carrinho, aumentar e diminuir a quantidade de um item</t>
  </si>
  <si>
    <t xml:space="preserve">Total atualizado</t>
  </si>
  <si>
    <t xml:space="preserve">CT-005</t>
  </si>
  <si>
    <t xml:space="preserve">Aplicar cupom (ajustado)</t>
  </si>
  <si>
    <t xml:space="preserve">Com 1× Mochila no carrinho, aplicar BEMVINDO10</t>
  </si>
  <si>
    <t xml:space="preserve">Desconto de 10% sobre o subtotal (R$ 10,00); total R$ 109,90</t>
  </si>
  <si>
    <t xml:space="preserve">CT-006</t>
  </si>
  <si>
    <t xml:space="preserve">1. Listagem</t>
  </si>
  <si>
    <t xml:space="preserve">Quantidade de produtos exibidos</t>
  </si>
  <si>
    <t xml:space="preserve">Contar os produtos na listagem</t>
  </si>
  <si>
    <t xml:space="preserve">8 produtos (P001 a P008)</t>
  </si>
  <si>
    <t xml:space="preserve">CT-007</t>
  </si>
  <si>
    <t xml:space="preserve">Nome e preço de cada produto</t>
  </si>
  <si>
    <t xml:space="preserve">Comparar cada card com a tabela da documentação</t>
  </si>
  <si>
    <t xml:space="preserve">Iguais à documentação (ex.: Camiseta Essencial R$ 59,90)</t>
  </si>
  <si>
    <t xml:space="preserve">CT-008</t>
  </si>
  <si>
    <t xml:space="preserve">Formatação de preço</t>
  </si>
  <si>
    <t xml:space="preserve">Observar o preço de todos os produtos</t>
  </si>
  <si>
    <t xml:space="preserve">Formato R$ 59,90, com vírgula e 2 casas</t>
  </si>
  <si>
    <t xml:space="preserve">CT-009</t>
  </si>
  <si>
    <t xml:space="preserve">Descrição e categoria</t>
  </si>
  <si>
    <t xml:space="preserve">Comparar com a resposta de GET /api/produtos (aba Network)</t>
  </si>
  <si>
    <t xml:space="preserve">Aparecem na tela e batem com a API</t>
  </si>
  <si>
    <t xml:space="preserve">CT-010</t>
  </si>
  <si>
    <t xml:space="preserve">Imagens dos produtos</t>
  </si>
  <si>
    <t xml:space="preserve">Observar todos os cards</t>
  </si>
  <si>
    <t xml:space="preserve">Imagens carregam, sem imagem quebrada</t>
  </si>
  <si>
    <t xml:space="preserve">CT-011</t>
  </si>
  <si>
    <t xml:space="preserve">Detalhe de um produto (se existir)</t>
  </si>
  <si>
    <t xml:space="preserve">Clicar em um produto</t>
  </si>
  <si>
    <t xml:space="preserve">Abre o produto certo, com dados corretos. Se não existir a tela, marcar como N/A.</t>
  </si>
  <si>
    <t xml:space="preserve">CT-012</t>
  </si>
  <si>
    <t xml:space="preserve">2. Adicionar ao carrinho</t>
  </si>
  <si>
    <t xml:space="preserve">Adicionar o mesmo produto 2 vezes</t>
  </si>
  <si>
    <t xml:space="preserve">Clicar 2× em Adicionar no mesmo produto</t>
  </si>
  <si>
    <t xml:space="preserve">Uma linha com quantidade 2, não duas linhas</t>
  </si>
  <si>
    <t xml:space="preserve">CT-013</t>
  </si>
  <si>
    <t xml:space="preserve">Adicionar produtos diferentes</t>
  </si>
  <si>
    <t xml:space="preserve">Adicionar Camiseta e Boné</t>
  </si>
  <si>
    <t xml:space="preserve">Uma linha por produto; subtotal R$ 109,80</t>
  </si>
  <si>
    <t xml:space="preserve">CT-014</t>
  </si>
  <si>
    <t xml:space="preserve">Contador do carrinho (ícone/badge)</t>
  </si>
  <si>
    <t xml:space="preserve">Adicionar itens e observar o contador</t>
  </si>
  <si>
    <t xml:space="preserve">Reflete a quantidade correta (anotar se conta unidades ou produtos)</t>
  </si>
  <si>
    <t xml:space="preserve">CT-015</t>
  </si>
  <si>
    <t xml:space="preserve">Feedback ao adicionar</t>
  </si>
  <si>
    <t xml:space="preserve">Adicionar um produto</t>
  </si>
  <si>
    <t xml:space="preserve">Mensagem ou indicação visual de que foi adicionado</t>
  </si>
  <si>
    <t xml:space="preserve">CT-016</t>
  </si>
  <si>
    <t xml:space="preserve">Adicionar todos os 8 produtos</t>
  </si>
  <si>
    <t xml:space="preserve">Adicionar 1 unidade de cada produto</t>
  </si>
  <si>
    <t xml:space="preserve">Subtotal R$ 849,40; frete R$ 0,00; total R$ 849,40</t>
  </si>
  <si>
    <t xml:space="preserve">CT-017</t>
  </si>
  <si>
    <t xml:space="preserve">3. Carrinho</t>
  </si>
  <si>
    <t xml:space="preserve">Remover um item</t>
  </si>
  <si>
    <t xml:space="preserve">Clicar em remover em um dos itens</t>
  </si>
  <si>
    <t xml:space="preserve">Item some e os totais recalculam</t>
  </si>
  <si>
    <t xml:space="preserve">CT-018</t>
  </si>
  <si>
    <t xml:space="preserve">Esvaziar o carrinho</t>
  </si>
  <si>
    <t xml:space="preserve">Remover todos os itens</t>
  </si>
  <si>
    <t xml:space="preserve">Estado vazio com mensagem amigável; sem valores negativos</t>
  </si>
  <si>
    <t xml:space="preserve">CT-019</t>
  </si>
  <si>
    <t xml:space="preserve">Total por linha</t>
  </si>
  <si>
    <t xml:space="preserve">Conferir cada linha na calculadora</t>
  </si>
  <si>
    <t xml:space="preserve">Preço unitário × quantidade, correto</t>
  </si>
  <si>
    <t xml:space="preserve">CT-020</t>
  </si>
  <si>
    <t xml:space="preserve">Remover o cupom</t>
  </si>
  <si>
    <t xml:space="preserve">Aplicar BEMVINDO10 e clicar em remover cupom</t>
  </si>
  <si>
    <t xml:space="preserve">Desconto some e total volta ao valor sem cupom</t>
  </si>
  <si>
    <t xml:space="preserve">CT-021</t>
  </si>
  <si>
    <t xml:space="preserve">Mensagem de falta para frete grátis</t>
  </si>
  <si>
    <t xml:space="preserve">Mochila ×1, depois ×2</t>
  </si>
  <si>
    <t xml:space="preserve">Mostra 'faltam R$ 100,00' e some ao atingir R$ 200,00</t>
  </si>
  <si>
    <t xml:space="preserve">CT-022</t>
  </si>
  <si>
    <t xml:space="preserve">Continuar comprando</t>
  </si>
  <si>
    <t xml:space="preserve">No carrinho, voltar à lista de produtos</t>
  </si>
  <si>
    <t xml:space="preserve">Volta à lista sem perder o carrinho</t>
  </si>
  <si>
    <t xml:space="preserve">CT-023</t>
  </si>
  <si>
    <t xml:space="preserve">4. Navegação e estado</t>
  </si>
  <si>
    <t xml:space="preserve">Recarregar a página (F5) com itens</t>
  </si>
  <si>
    <t xml:space="preserve">Adicionar itens e apertar F5</t>
  </si>
  <si>
    <t xml:space="preserve">Carrinho continua na mesma aba (esperado pela doc)</t>
  </si>
  <si>
    <t xml:space="preserve">CT-024</t>
  </si>
  <si>
    <t xml:space="preserve">Abrir a loja em outra aba</t>
  </si>
  <si>
    <t xml:space="preserve">Abrir a URL em nova aba</t>
  </si>
  <si>
    <t xml:space="preserve">Carrinho vazio (esperado, NÃO é bug)</t>
  </si>
  <si>
    <t xml:space="preserve">CT-025</t>
  </si>
  <si>
    <t xml:space="preserve">Botão Voltar do navegador</t>
  </si>
  <si>
    <t xml:space="preserve">Navegar até o carrinho e clicar em Voltar</t>
  </si>
  <si>
    <t xml:space="preserve">Não perde dados nem quebra a tela</t>
  </si>
  <si>
    <t xml:space="preserve">CT-026</t>
  </si>
  <si>
    <t xml:space="preserve">URL inexistente</t>
  </si>
  <si>
    <t xml:space="preserve">Acessar /xyz</t>
  </si>
  <si>
    <t xml:space="preserve">Página de erro tratada, sem tela em branco</t>
  </si>
  <si>
    <t xml:space="preserve">CT-027</t>
  </si>
  <si>
    <t xml:space="preserve">Acessar /documentacao</t>
  </si>
  <si>
    <t xml:space="preserve">Abrir /documentacao</t>
  </si>
  <si>
    <t xml:space="preserve">Abre e o conteúdo bate com o PDF</t>
  </si>
  <si>
    <t xml:space="preserve">CT-028</t>
  </si>
  <si>
    <t xml:space="preserve">Links e botões do menu</t>
  </si>
  <si>
    <t xml:space="preserve">Clicar em cada link e botão do menu</t>
  </si>
  <si>
    <t xml:space="preserve">Todos levam ao destino certo</t>
  </si>
  <si>
    <t xml:space="preserve">CT-029</t>
  </si>
  <si>
    <t xml:space="preserve">5. Pedido concluído</t>
  </si>
  <si>
    <t xml:space="preserve">Tela de confirmação</t>
  </si>
  <si>
    <t xml:space="preserve">Finalizar um pedido válido</t>
  </si>
  <si>
    <t xml:space="preserve">Mostra número VZ-000000, dados do cliente e itens</t>
  </si>
  <si>
    <t xml:space="preserve">CT-030</t>
  </si>
  <si>
    <t xml:space="preserve">Valores da confirmação × carrinho</t>
  </si>
  <si>
    <t xml:space="preserve">Comparar subtotal, desconto, frete e total</t>
  </si>
  <si>
    <t xml:space="preserve">Idênticos</t>
  </si>
  <si>
    <t xml:space="preserve">CT-031</t>
  </si>
  <si>
    <t xml:space="preserve">CEP exibido na confirmação</t>
  </si>
  <si>
    <t xml:space="preserve">Informar 01310-100 e ver a confirmação</t>
  </si>
  <si>
    <t xml:space="preserve">Pode aparecer sem hífen (a API normaliza); conferir consistência</t>
  </si>
  <si>
    <t xml:space="preserve">CT-032</t>
  </si>
  <si>
    <t xml:space="preserve">Carrinho após confirmar</t>
  </si>
  <si>
    <t xml:space="preserve">Voltar à loja depois de confirmar</t>
  </si>
  <si>
    <t xml:space="preserve">Anotar o comportamento (esvazia ou não)</t>
  </si>
  <si>
    <t xml:space="preserve">CT-033</t>
  </si>
  <si>
    <t xml:space="preserve">Nova compra logo depois</t>
  </si>
  <si>
    <t xml:space="preserve">Iniciar um novo pedido</t>
  </si>
  <si>
    <t xml:space="preserve">Não herda itens nem cupom da compra anterior</t>
  </si>
  <si>
    <t xml:space="preserve">CT-034</t>
  </si>
  <si>
    <t xml:space="preserve">6. Compatibilidade e usabilidade</t>
  </si>
  <si>
    <t xml:space="preserve">Chrome, Firefox e Edge</t>
  </si>
  <si>
    <t xml:space="preserve">Repetir o fluxo básico em cada navegador</t>
  </si>
  <si>
    <t xml:space="preserve">Mesmo comportamento nos três</t>
  </si>
  <si>
    <t xml:space="preserve">CT-035</t>
  </si>
  <si>
    <t xml:space="preserve">Celular (375px) e tablet (768px)</t>
  </si>
  <si>
    <t xml:space="preserve">DevTools &gt; modo dispositivo; percorrer o fluxo</t>
  </si>
  <si>
    <t xml:space="preserve">Layout se adapta, sem rolagem horizontal</t>
  </si>
  <si>
    <t xml:space="preserve">CT-036</t>
  </si>
  <si>
    <t xml:space="preserve">Navegação por teclado</t>
  </si>
  <si>
    <t xml:space="preserve">Usar Tab, Shift+Tab e Enter</t>
  </si>
  <si>
    <t xml:space="preserve">Funcionam e o foco fica visível</t>
  </si>
  <si>
    <t xml:space="preserve">CT-037</t>
  </si>
  <si>
    <t xml:space="preserve">Zoom 150%</t>
  </si>
  <si>
    <t xml:space="preserve">Ctrl + '+' até 150%</t>
  </si>
  <si>
    <t xml:space="preserve">Nada sobrepõe ou corta</t>
  </si>
  <si>
    <t xml:space="preserve">CT-038</t>
  </si>
  <si>
    <t xml:space="preserve">Mensagens de erro</t>
  </si>
  <si>
    <t xml:space="preserve">Provocar erros de cupom e checkout</t>
  </si>
  <si>
    <t xml:space="preserve">Em português, com acentos, claras e perto do campo</t>
  </si>
  <si>
    <t xml:space="preserve">CT-039</t>
  </si>
  <si>
    <t xml:space="preserve">Cliques rápidos repetidos</t>
  </si>
  <si>
    <t xml:space="preserve">Clicar várias vezes em Aplicar, + e Confirmar</t>
  </si>
  <si>
    <t xml:space="preserve">Sem duplicar ação nem travar</t>
  </si>
  <si>
    <t xml:space="preserve">Resumo da execução</t>
  </si>
  <si>
    <t xml:space="preserve">Casos</t>
  </si>
  <si>
    <t xml:space="preserve">Passou</t>
  </si>
  <si>
    <t xml:space="preserve">Falhou</t>
  </si>
  <si>
    <t xml:space="preserve">Bloqueado</t>
  </si>
  <si>
    <t xml:space="preserve">Dúvida</t>
  </si>
  <si>
    <t xml:space="preserve">N/A</t>
  </si>
  <si>
    <t xml:space="preserve">Total</t>
  </si>
  <si>
    <t xml:space="preserve">% executado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</si>
</sst>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99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EB9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2"/>
    </row>
    <row r="3" customFormat="false" ht="23.85" hidden="false" customHeight="false" outlineLevel="0" collapsed="false">
      <c r="A3" s="3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2" t="s">
        <v>4</v>
      </c>
    </row>
    <row r="5" customFormat="false" ht="15" hidden="false" customHeight="false" outlineLevel="0" collapsed="false">
      <c r="A5" s="3" t="s">
        <v>5</v>
      </c>
      <c r="B5" s="2" t="s">
        <v>6</v>
      </c>
    </row>
    <row r="6" customFormat="false" ht="23.85" hidden="false" customHeight="false" outlineLevel="0" collapsed="false">
      <c r="A6" s="3" t="s">
        <v>7</v>
      </c>
      <c r="B6" s="2" t="s">
        <v>8</v>
      </c>
    </row>
    <row r="7" customFormat="false" ht="23.85" hidden="false" customHeight="false" outlineLevel="0" collapsed="false">
      <c r="A7" s="3" t="s">
        <v>9</v>
      </c>
      <c r="B7" s="2" t="s">
        <v>10</v>
      </c>
    </row>
    <row r="8" customFormat="false" ht="23.85" hidden="false" customHeight="false" outlineLevel="0" collapsed="false">
      <c r="A8" s="3" t="s">
        <v>11</v>
      </c>
      <c r="B8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50"/>
    <col collapsed="false" customWidth="true" hidden="false" outlineLevel="0" max="5" min="5" style="0" width="46"/>
    <col collapsed="false" customWidth="true" hidden="false" outlineLevel="0" max="6" min="6" style="0" width="34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0" min="10" style="0" width="12"/>
  </cols>
  <sheetData>
    <row r="1" customFormat="false" ht="27.75" hidden="false" customHeight="true" outlineLevel="0" collapsed="false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5</v>
      </c>
      <c r="H1" s="4" t="s">
        <v>19</v>
      </c>
      <c r="I1" s="4" t="s">
        <v>20</v>
      </c>
      <c r="J1" s="4" t="s">
        <v>21</v>
      </c>
    </row>
    <row r="2" customFormat="false" ht="15" hidden="false" customHeight="false" outlineLevel="0" collapsed="false">
      <c r="A2" s="5" t="s">
        <v>22</v>
      </c>
      <c r="B2" s="6" t="s">
        <v>23</v>
      </c>
      <c r="C2" s="6" t="s">
        <v>24</v>
      </c>
      <c r="D2" s="6" t="s">
        <v>25</v>
      </c>
      <c r="E2" s="6" t="s">
        <v>26</v>
      </c>
      <c r="F2" s="7"/>
      <c r="G2" s="7" t="s">
        <v>27</v>
      </c>
      <c r="H2" s="7"/>
      <c r="I2" s="7"/>
      <c r="J2" s="7"/>
    </row>
    <row r="3" customFormat="false" ht="15" hidden="false" customHeight="false" outlineLevel="0" collapsed="false">
      <c r="A3" s="5" t="s">
        <v>28</v>
      </c>
      <c r="B3" s="6" t="s">
        <v>23</v>
      </c>
      <c r="C3" s="6" t="s">
        <v>29</v>
      </c>
      <c r="D3" s="6" t="s">
        <v>30</v>
      </c>
      <c r="E3" s="6" t="s">
        <v>31</v>
      </c>
      <c r="F3" s="7"/>
      <c r="G3" s="7" t="s">
        <v>27</v>
      </c>
      <c r="H3" s="7"/>
      <c r="I3" s="7"/>
      <c r="J3" s="7"/>
    </row>
    <row r="4" customFormat="false" ht="15" hidden="false" customHeight="false" outlineLevel="0" collapsed="false">
      <c r="A4" s="5" t="s">
        <v>32</v>
      </c>
      <c r="B4" s="6" t="s">
        <v>23</v>
      </c>
      <c r="C4" s="6" t="s">
        <v>33</v>
      </c>
      <c r="D4" s="6" t="s">
        <v>34</v>
      </c>
      <c r="E4" s="6" t="s">
        <v>35</v>
      </c>
      <c r="F4" s="7"/>
      <c r="G4" s="7" t="s">
        <v>27</v>
      </c>
      <c r="H4" s="7"/>
      <c r="I4" s="7"/>
      <c r="J4" s="7"/>
    </row>
    <row r="5" customFormat="false" ht="15" hidden="false" customHeight="false" outlineLevel="0" collapsed="false">
      <c r="A5" s="5" t="s">
        <v>36</v>
      </c>
      <c r="B5" s="6" t="s">
        <v>23</v>
      </c>
      <c r="C5" s="6" t="s">
        <v>37</v>
      </c>
      <c r="D5" s="6" t="s">
        <v>38</v>
      </c>
      <c r="E5" s="6" t="s">
        <v>39</v>
      </c>
      <c r="F5" s="7"/>
      <c r="G5" s="7" t="s">
        <v>27</v>
      </c>
      <c r="H5" s="7"/>
      <c r="I5" s="7"/>
      <c r="J5" s="7"/>
    </row>
    <row r="6" customFormat="false" ht="23.85" hidden="false" customHeight="false" outlineLevel="0" collapsed="false">
      <c r="A6" s="5" t="s">
        <v>40</v>
      </c>
      <c r="B6" s="6" t="s">
        <v>23</v>
      </c>
      <c r="C6" s="6" t="s">
        <v>41</v>
      </c>
      <c r="D6" s="6" t="s">
        <v>42</v>
      </c>
      <c r="E6" s="6" t="s">
        <v>43</v>
      </c>
      <c r="F6" s="7"/>
      <c r="G6" s="7" t="s">
        <v>27</v>
      </c>
      <c r="H6" s="7"/>
      <c r="I6" s="7"/>
      <c r="J6" s="7"/>
    </row>
    <row r="7" customFormat="false" ht="15" hidden="false" customHeight="false" outlineLevel="0" collapsed="false">
      <c r="A7" s="5" t="s">
        <v>44</v>
      </c>
      <c r="B7" s="6" t="s">
        <v>45</v>
      </c>
      <c r="C7" s="6" t="s">
        <v>46</v>
      </c>
      <c r="D7" s="6" t="s">
        <v>47</v>
      </c>
      <c r="E7" s="6" t="s">
        <v>48</v>
      </c>
      <c r="F7" s="7"/>
      <c r="G7" s="7" t="s">
        <v>27</v>
      </c>
      <c r="H7" s="7"/>
      <c r="I7" s="7"/>
      <c r="J7" s="7"/>
    </row>
    <row r="8" customFormat="false" ht="23.85" hidden="false" customHeight="false" outlineLevel="0" collapsed="false">
      <c r="A8" s="5" t="s">
        <v>49</v>
      </c>
      <c r="B8" s="6" t="s">
        <v>45</v>
      </c>
      <c r="C8" s="6" t="s">
        <v>50</v>
      </c>
      <c r="D8" s="6" t="s">
        <v>51</v>
      </c>
      <c r="E8" s="6" t="s">
        <v>52</v>
      </c>
      <c r="F8" s="7"/>
      <c r="G8" s="7" t="s">
        <v>27</v>
      </c>
      <c r="H8" s="7"/>
      <c r="I8" s="7"/>
      <c r="J8" s="7"/>
    </row>
    <row r="9" customFormat="false" ht="15" hidden="false" customHeight="false" outlineLevel="0" collapsed="false">
      <c r="A9" s="5" t="s">
        <v>53</v>
      </c>
      <c r="B9" s="6" t="s">
        <v>45</v>
      </c>
      <c r="C9" s="6" t="s">
        <v>54</v>
      </c>
      <c r="D9" s="6" t="s">
        <v>55</v>
      </c>
      <c r="E9" s="6" t="s">
        <v>56</v>
      </c>
      <c r="F9" s="7"/>
      <c r="G9" s="7" t="s">
        <v>27</v>
      </c>
      <c r="H9" s="7"/>
      <c r="I9" s="7"/>
      <c r="J9" s="7"/>
    </row>
    <row r="10" customFormat="false" ht="23.85" hidden="false" customHeight="false" outlineLevel="0" collapsed="false">
      <c r="A10" s="5" t="s">
        <v>57</v>
      </c>
      <c r="B10" s="6" t="s">
        <v>45</v>
      </c>
      <c r="C10" s="6" t="s">
        <v>58</v>
      </c>
      <c r="D10" s="6" t="s">
        <v>59</v>
      </c>
      <c r="E10" s="6" t="s">
        <v>60</v>
      </c>
      <c r="F10" s="7"/>
      <c r="G10" s="7" t="s">
        <v>27</v>
      </c>
      <c r="H10" s="7"/>
      <c r="I10" s="7"/>
      <c r="J10" s="7"/>
    </row>
    <row r="11" customFormat="false" ht="15" hidden="false" customHeight="false" outlineLevel="0" collapsed="false">
      <c r="A11" s="5" t="s">
        <v>61</v>
      </c>
      <c r="B11" s="6" t="s">
        <v>45</v>
      </c>
      <c r="C11" s="6" t="s">
        <v>62</v>
      </c>
      <c r="D11" s="6" t="s">
        <v>63</v>
      </c>
      <c r="E11" s="6" t="s">
        <v>64</v>
      </c>
      <c r="F11" s="7"/>
      <c r="G11" s="7" t="s">
        <v>27</v>
      </c>
      <c r="H11" s="7"/>
      <c r="I11" s="7"/>
      <c r="J11" s="7"/>
    </row>
    <row r="12" customFormat="false" ht="23.85" hidden="false" customHeight="false" outlineLevel="0" collapsed="false">
      <c r="A12" s="5" t="s">
        <v>65</v>
      </c>
      <c r="B12" s="6" t="s">
        <v>45</v>
      </c>
      <c r="C12" s="6" t="s">
        <v>66</v>
      </c>
      <c r="D12" s="6" t="s">
        <v>67</v>
      </c>
      <c r="E12" s="6" t="s">
        <v>68</v>
      </c>
      <c r="F12" s="7"/>
      <c r="G12" s="7" t="s">
        <v>27</v>
      </c>
      <c r="H12" s="7"/>
      <c r="I12" s="7"/>
      <c r="J12" s="7"/>
    </row>
    <row r="13" customFormat="false" ht="15" hidden="false" customHeight="false" outlineLevel="0" collapsed="false">
      <c r="A13" s="5" t="s">
        <v>69</v>
      </c>
      <c r="B13" s="6" t="s">
        <v>70</v>
      </c>
      <c r="C13" s="6" t="s">
        <v>71</v>
      </c>
      <c r="D13" s="6" t="s">
        <v>72</v>
      </c>
      <c r="E13" s="6" t="s">
        <v>73</v>
      </c>
      <c r="F13" s="7"/>
      <c r="G13" s="7" t="s">
        <v>27</v>
      </c>
      <c r="H13" s="7"/>
      <c r="I13" s="7"/>
      <c r="J13" s="7"/>
    </row>
    <row r="14" customFormat="false" ht="15" hidden="false" customHeight="false" outlineLevel="0" collapsed="false">
      <c r="A14" s="5" t="s">
        <v>74</v>
      </c>
      <c r="B14" s="6" t="s">
        <v>70</v>
      </c>
      <c r="C14" s="6" t="s">
        <v>75</v>
      </c>
      <c r="D14" s="6" t="s">
        <v>76</v>
      </c>
      <c r="E14" s="6" t="s">
        <v>77</v>
      </c>
      <c r="F14" s="7"/>
      <c r="G14" s="7" t="s">
        <v>27</v>
      </c>
      <c r="H14" s="7"/>
      <c r="I14" s="7"/>
      <c r="J14" s="7"/>
    </row>
    <row r="15" customFormat="false" ht="23.85" hidden="false" customHeight="false" outlineLevel="0" collapsed="false">
      <c r="A15" s="5" t="s">
        <v>78</v>
      </c>
      <c r="B15" s="6" t="s">
        <v>70</v>
      </c>
      <c r="C15" s="6" t="s">
        <v>79</v>
      </c>
      <c r="D15" s="6" t="s">
        <v>80</v>
      </c>
      <c r="E15" s="6" t="s">
        <v>81</v>
      </c>
      <c r="F15" s="7"/>
      <c r="G15" s="7" t="s">
        <v>27</v>
      </c>
      <c r="H15" s="7"/>
      <c r="I15" s="7"/>
      <c r="J15" s="7"/>
    </row>
    <row r="16" customFormat="false" ht="15" hidden="false" customHeight="false" outlineLevel="0" collapsed="false">
      <c r="A16" s="5" t="s">
        <v>82</v>
      </c>
      <c r="B16" s="6" t="s">
        <v>70</v>
      </c>
      <c r="C16" s="6" t="s">
        <v>83</v>
      </c>
      <c r="D16" s="6" t="s">
        <v>84</v>
      </c>
      <c r="E16" s="6" t="s">
        <v>85</v>
      </c>
      <c r="F16" s="7"/>
      <c r="G16" s="7" t="s">
        <v>27</v>
      </c>
      <c r="H16" s="7"/>
      <c r="I16" s="7"/>
      <c r="J16" s="7"/>
    </row>
    <row r="17" customFormat="false" ht="15" hidden="false" customHeight="false" outlineLevel="0" collapsed="false">
      <c r="A17" s="5" t="s">
        <v>86</v>
      </c>
      <c r="B17" s="6" t="s">
        <v>70</v>
      </c>
      <c r="C17" s="6" t="s">
        <v>87</v>
      </c>
      <c r="D17" s="6" t="s">
        <v>88</v>
      </c>
      <c r="E17" s="6" t="s">
        <v>89</v>
      </c>
      <c r="F17" s="7"/>
      <c r="G17" s="7" t="s">
        <v>27</v>
      </c>
      <c r="H17" s="7"/>
      <c r="I17" s="7"/>
      <c r="J17" s="7"/>
    </row>
    <row r="18" customFormat="false" ht="15" hidden="false" customHeight="false" outlineLevel="0" collapsed="false">
      <c r="A18" s="5" t="s">
        <v>90</v>
      </c>
      <c r="B18" s="6" t="s">
        <v>91</v>
      </c>
      <c r="C18" s="6" t="s">
        <v>92</v>
      </c>
      <c r="D18" s="6" t="s">
        <v>93</v>
      </c>
      <c r="E18" s="6" t="s">
        <v>94</v>
      </c>
      <c r="F18" s="7"/>
      <c r="G18" s="7" t="s">
        <v>27</v>
      </c>
      <c r="H18" s="7"/>
      <c r="I18" s="7"/>
      <c r="J18" s="7"/>
    </row>
    <row r="19" customFormat="false" ht="23.85" hidden="false" customHeight="false" outlineLevel="0" collapsed="false">
      <c r="A19" s="5" t="s">
        <v>95</v>
      </c>
      <c r="B19" s="6" t="s">
        <v>91</v>
      </c>
      <c r="C19" s="6" t="s">
        <v>96</v>
      </c>
      <c r="D19" s="6" t="s">
        <v>97</v>
      </c>
      <c r="E19" s="6" t="s">
        <v>98</v>
      </c>
      <c r="F19" s="7"/>
      <c r="G19" s="7" t="s">
        <v>27</v>
      </c>
      <c r="H19" s="7"/>
      <c r="I19" s="7"/>
      <c r="J19" s="7"/>
    </row>
    <row r="20" customFormat="false" ht="15" hidden="false" customHeight="false" outlineLevel="0" collapsed="false">
      <c r="A20" s="5" t="s">
        <v>99</v>
      </c>
      <c r="B20" s="6" t="s">
        <v>91</v>
      </c>
      <c r="C20" s="6" t="s">
        <v>100</v>
      </c>
      <c r="D20" s="6" t="s">
        <v>101</v>
      </c>
      <c r="E20" s="6" t="s">
        <v>102</v>
      </c>
      <c r="F20" s="7"/>
      <c r="G20" s="7" t="s">
        <v>27</v>
      </c>
      <c r="H20" s="7"/>
      <c r="I20" s="7"/>
      <c r="J20" s="7"/>
    </row>
    <row r="21" customFormat="false" ht="15" hidden="false" customHeight="false" outlineLevel="0" collapsed="false">
      <c r="A21" s="5" t="s">
        <v>103</v>
      </c>
      <c r="B21" s="6" t="s">
        <v>91</v>
      </c>
      <c r="C21" s="6" t="s">
        <v>104</v>
      </c>
      <c r="D21" s="6" t="s">
        <v>105</v>
      </c>
      <c r="E21" s="6" t="s">
        <v>106</v>
      </c>
      <c r="F21" s="7"/>
      <c r="G21" s="7" t="s">
        <v>27</v>
      </c>
      <c r="H21" s="7"/>
      <c r="I21" s="7"/>
      <c r="J21" s="7"/>
    </row>
    <row r="22" customFormat="false" ht="15" hidden="false" customHeight="false" outlineLevel="0" collapsed="false">
      <c r="A22" s="5" t="s">
        <v>107</v>
      </c>
      <c r="B22" s="6" t="s">
        <v>91</v>
      </c>
      <c r="C22" s="6" t="s">
        <v>108</v>
      </c>
      <c r="D22" s="6" t="s">
        <v>109</v>
      </c>
      <c r="E22" s="6" t="s">
        <v>110</v>
      </c>
      <c r="F22" s="7"/>
      <c r="G22" s="7" t="s">
        <v>27</v>
      </c>
      <c r="H22" s="7"/>
      <c r="I22" s="7"/>
      <c r="J22" s="7"/>
    </row>
    <row r="23" customFormat="false" ht="15" hidden="false" customHeight="false" outlineLevel="0" collapsed="false">
      <c r="A23" s="5" t="s">
        <v>111</v>
      </c>
      <c r="B23" s="6" t="s">
        <v>91</v>
      </c>
      <c r="C23" s="6" t="s">
        <v>112</v>
      </c>
      <c r="D23" s="6" t="s">
        <v>113</v>
      </c>
      <c r="E23" s="6" t="s">
        <v>114</v>
      </c>
      <c r="F23" s="7"/>
      <c r="G23" s="7" t="s">
        <v>27</v>
      </c>
      <c r="H23" s="7"/>
      <c r="I23" s="7"/>
      <c r="J23" s="7"/>
    </row>
    <row r="24" customFormat="false" ht="15" hidden="false" customHeight="false" outlineLevel="0" collapsed="false">
      <c r="A24" s="5" t="s">
        <v>115</v>
      </c>
      <c r="B24" s="6" t="s">
        <v>116</v>
      </c>
      <c r="C24" s="6" t="s">
        <v>117</v>
      </c>
      <c r="D24" s="6" t="s">
        <v>118</v>
      </c>
      <c r="E24" s="6" t="s">
        <v>119</v>
      </c>
      <c r="F24" s="7"/>
      <c r="G24" s="7" t="s">
        <v>27</v>
      </c>
      <c r="H24" s="7"/>
      <c r="I24" s="7"/>
      <c r="J24" s="7"/>
    </row>
    <row r="25" customFormat="false" ht="15" hidden="false" customHeight="false" outlineLevel="0" collapsed="false">
      <c r="A25" s="5" t="s">
        <v>120</v>
      </c>
      <c r="B25" s="6" t="s">
        <v>116</v>
      </c>
      <c r="C25" s="6" t="s">
        <v>121</v>
      </c>
      <c r="D25" s="6" t="s">
        <v>122</v>
      </c>
      <c r="E25" s="6" t="s">
        <v>123</v>
      </c>
      <c r="F25" s="7"/>
      <c r="G25" s="7" t="s">
        <v>27</v>
      </c>
      <c r="H25" s="7"/>
      <c r="I25" s="7"/>
      <c r="J25" s="7"/>
    </row>
    <row r="26" customFormat="false" ht="15" hidden="false" customHeight="false" outlineLevel="0" collapsed="false">
      <c r="A26" s="5" t="s">
        <v>124</v>
      </c>
      <c r="B26" s="6" t="s">
        <v>116</v>
      </c>
      <c r="C26" s="6" t="s">
        <v>125</v>
      </c>
      <c r="D26" s="6" t="s">
        <v>126</v>
      </c>
      <c r="E26" s="6" t="s">
        <v>127</v>
      </c>
      <c r="F26" s="7"/>
      <c r="G26" s="7" t="s">
        <v>27</v>
      </c>
      <c r="H26" s="7"/>
      <c r="I26" s="7"/>
      <c r="J26" s="7"/>
    </row>
    <row r="27" customFormat="false" ht="15" hidden="false" customHeight="false" outlineLevel="0" collapsed="false">
      <c r="A27" s="5" t="s">
        <v>128</v>
      </c>
      <c r="B27" s="6" t="s">
        <v>116</v>
      </c>
      <c r="C27" s="6" t="s">
        <v>129</v>
      </c>
      <c r="D27" s="6" t="s">
        <v>130</v>
      </c>
      <c r="E27" s="6" t="s">
        <v>131</v>
      </c>
      <c r="F27" s="7"/>
      <c r="G27" s="7" t="s">
        <v>27</v>
      </c>
      <c r="H27" s="7"/>
      <c r="I27" s="7"/>
      <c r="J27" s="7"/>
    </row>
    <row r="28" customFormat="false" ht="15" hidden="false" customHeight="false" outlineLevel="0" collapsed="false">
      <c r="A28" s="5" t="s">
        <v>132</v>
      </c>
      <c r="B28" s="6" t="s">
        <v>116</v>
      </c>
      <c r="C28" s="6" t="s">
        <v>133</v>
      </c>
      <c r="D28" s="6" t="s">
        <v>134</v>
      </c>
      <c r="E28" s="6" t="s">
        <v>135</v>
      </c>
      <c r="F28" s="7"/>
      <c r="G28" s="7" t="s">
        <v>27</v>
      </c>
      <c r="H28" s="7"/>
      <c r="I28" s="7"/>
      <c r="J28" s="7"/>
    </row>
    <row r="29" customFormat="false" ht="15" hidden="false" customHeight="false" outlineLevel="0" collapsed="false">
      <c r="A29" s="5" t="s">
        <v>136</v>
      </c>
      <c r="B29" s="6" t="s">
        <v>116</v>
      </c>
      <c r="C29" s="6" t="s">
        <v>137</v>
      </c>
      <c r="D29" s="6" t="s">
        <v>138</v>
      </c>
      <c r="E29" s="6" t="s">
        <v>139</v>
      </c>
      <c r="F29" s="7"/>
      <c r="G29" s="7" t="s">
        <v>27</v>
      </c>
      <c r="H29" s="7"/>
      <c r="I29" s="7"/>
      <c r="J29" s="7"/>
    </row>
    <row r="30" customFormat="false" ht="15" hidden="false" customHeight="false" outlineLevel="0" collapsed="false">
      <c r="A30" s="5" t="s">
        <v>140</v>
      </c>
      <c r="B30" s="6" t="s">
        <v>141</v>
      </c>
      <c r="C30" s="6" t="s">
        <v>142</v>
      </c>
      <c r="D30" s="6" t="s">
        <v>143</v>
      </c>
      <c r="E30" s="6" t="s">
        <v>144</v>
      </c>
      <c r="F30" s="7"/>
      <c r="G30" s="7" t="s">
        <v>27</v>
      </c>
      <c r="H30" s="7"/>
      <c r="I30" s="7"/>
      <c r="J30" s="7"/>
    </row>
    <row r="31" customFormat="false" ht="15" hidden="false" customHeight="false" outlineLevel="0" collapsed="false">
      <c r="A31" s="5" t="s">
        <v>145</v>
      </c>
      <c r="B31" s="6" t="s">
        <v>141</v>
      </c>
      <c r="C31" s="6" t="s">
        <v>146</v>
      </c>
      <c r="D31" s="6" t="s">
        <v>147</v>
      </c>
      <c r="E31" s="6" t="s">
        <v>148</v>
      </c>
      <c r="F31" s="7"/>
      <c r="G31" s="7" t="s">
        <v>27</v>
      </c>
      <c r="H31" s="7"/>
      <c r="I31" s="7"/>
      <c r="J31" s="7"/>
    </row>
    <row r="32" customFormat="false" ht="23.85" hidden="false" customHeight="false" outlineLevel="0" collapsed="false">
      <c r="A32" s="5" t="s">
        <v>149</v>
      </c>
      <c r="B32" s="6" t="s">
        <v>141</v>
      </c>
      <c r="C32" s="6" t="s">
        <v>150</v>
      </c>
      <c r="D32" s="6" t="s">
        <v>151</v>
      </c>
      <c r="E32" s="6" t="s">
        <v>152</v>
      </c>
      <c r="F32" s="7"/>
      <c r="G32" s="7" t="s">
        <v>27</v>
      </c>
      <c r="H32" s="7"/>
      <c r="I32" s="7"/>
      <c r="J32" s="7"/>
    </row>
    <row r="33" customFormat="false" ht="15" hidden="false" customHeight="false" outlineLevel="0" collapsed="false">
      <c r="A33" s="5" t="s">
        <v>153</v>
      </c>
      <c r="B33" s="6" t="s">
        <v>141</v>
      </c>
      <c r="C33" s="6" t="s">
        <v>154</v>
      </c>
      <c r="D33" s="6" t="s">
        <v>155</v>
      </c>
      <c r="E33" s="6" t="s">
        <v>156</v>
      </c>
      <c r="F33" s="7"/>
      <c r="G33" s="7" t="s">
        <v>27</v>
      </c>
      <c r="H33" s="7"/>
      <c r="I33" s="7"/>
      <c r="J33" s="7"/>
    </row>
    <row r="34" customFormat="false" ht="15" hidden="false" customHeight="false" outlineLevel="0" collapsed="false">
      <c r="A34" s="5" t="s">
        <v>157</v>
      </c>
      <c r="B34" s="6" t="s">
        <v>141</v>
      </c>
      <c r="C34" s="6" t="s">
        <v>158</v>
      </c>
      <c r="D34" s="6" t="s">
        <v>159</v>
      </c>
      <c r="E34" s="6" t="s">
        <v>160</v>
      </c>
      <c r="F34" s="7"/>
      <c r="G34" s="7" t="s">
        <v>27</v>
      </c>
      <c r="H34" s="7"/>
      <c r="I34" s="7"/>
      <c r="J34" s="7"/>
    </row>
    <row r="35" customFormat="false" ht="23.85" hidden="false" customHeight="false" outlineLevel="0" collapsed="false">
      <c r="A35" s="5" t="s">
        <v>161</v>
      </c>
      <c r="B35" s="6" t="s">
        <v>162</v>
      </c>
      <c r="C35" s="6" t="s">
        <v>163</v>
      </c>
      <c r="D35" s="6" t="s">
        <v>164</v>
      </c>
      <c r="E35" s="6" t="s">
        <v>165</v>
      </c>
      <c r="F35" s="7"/>
      <c r="G35" s="7" t="s">
        <v>27</v>
      </c>
      <c r="H35" s="7"/>
      <c r="I35" s="7"/>
      <c r="J35" s="7"/>
    </row>
    <row r="36" customFormat="false" ht="23.85" hidden="false" customHeight="false" outlineLevel="0" collapsed="false">
      <c r="A36" s="5" t="s">
        <v>166</v>
      </c>
      <c r="B36" s="6" t="s">
        <v>162</v>
      </c>
      <c r="C36" s="6" t="s">
        <v>167</v>
      </c>
      <c r="D36" s="6" t="s">
        <v>168</v>
      </c>
      <c r="E36" s="6" t="s">
        <v>169</v>
      </c>
      <c r="F36" s="7"/>
      <c r="G36" s="7" t="s">
        <v>27</v>
      </c>
      <c r="H36" s="7"/>
      <c r="I36" s="7"/>
      <c r="J36" s="7"/>
    </row>
    <row r="37" customFormat="false" ht="23.85" hidden="false" customHeight="false" outlineLevel="0" collapsed="false">
      <c r="A37" s="5" t="s">
        <v>170</v>
      </c>
      <c r="B37" s="6" t="s">
        <v>162</v>
      </c>
      <c r="C37" s="6" t="s">
        <v>171</v>
      </c>
      <c r="D37" s="6" t="s">
        <v>172</v>
      </c>
      <c r="E37" s="6" t="s">
        <v>173</v>
      </c>
      <c r="F37" s="7"/>
      <c r="G37" s="7" t="s">
        <v>27</v>
      </c>
      <c r="H37" s="7"/>
      <c r="I37" s="7"/>
      <c r="J37" s="7"/>
    </row>
    <row r="38" customFormat="false" ht="23.85" hidden="false" customHeight="false" outlineLevel="0" collapsed="false">
      <c r="A38" s="5" t="s">
        <v>174</v>
      </c>
      <c r="B38" s="6" t="s">
        <v>162</v>
      </c>
      <c r="C38" s="6" t="s">
        <v>175</v>
      </c>
      <c r="D38" s="6" t="s">
        <v>176</v>
      </c>
      <c r="E38" s="6" t="s">
        <v>177</v>
      </c>
      <c r="F38" s="7"/>
      <c r="G38" s="7" t="s">
        <v>27</v>
      </c>
      <c r="H38" s="7"/>
      <c r="I38" s="7"/>
      <c r="J38" s="7"/>
    </row>
    <row r="39" customFormat="false" ht="23.85" hidden="false" customHeight="false" outlineLevel="0" collapsed="false">
      <c r="A39" s="5" t="s">
        <v>178</v>
      </c>
      <c r="B39" s="6" t="s">
        <v>162</v>
      </c>
      <c r="C39" s="6" t="s">
        <v>179</v>
      </c>
      <c r="D39" s="6" t="s">
        <v>180</v>
      </c>
      <c r="E39" s="6" t="s">
        <v>181</v>
      </c>
      <c r="F39" s="7"/>
      <c r="G39" s="7" t="s">
        <v>27</v>
      </c>
      <c r="H39" s="7"/>
      <c r="I39" s="7"/>
      <c r="J39" s="7"/>
    </row>
    <row r="40" customFormat="false" ht="23.85" hidden="false" customHeight="false" outlineLevel="0" collapsed="false">
      <c r="A40" s="5" t="s">
        <v>182</v>
      </c>
      <c r="B40" s="6" t="s">
        <v>162</v>
      </c>
      <c r="C40" s="6" t="s">
        <v>183</v>
      </c>
      <c r="D40" s="6" t="s">
        <v>184</v>
      </c>
      <c r="E40" s="6" t="s">
        <v>185</v>
      </c>
      <c r="F40" s="7"/>
      <c r="G40" s="7" t="s">
        <v>27</v>
      </c>
      <c r="H40" s="7"/>
      <c r="I40" s="7"/>
      <c r="J40" s="7"/>
    </row>
  </sheetData>
  <autoFilter ref="A1:J40"/>
  <conditionalFormatting sqref="G2:G40">
    <cfRule type="cellIs" priority="2" operator="equal" aboveAverage="0" equalAverage="0" bottom="0" percent="0" rank="0" text="" dxfId="5">
      <formula>"Passou"</formula>
    </cfRule>
    <cfRule type="cellIs" priority="3" operator="equal" aboveAverage="0" equalAverage="0" bottom="0" percent="0" rank="0" text="" dxfId="6">
      <formula>"Falhou"</formula>
    </cfRule>
    <cfRule type="cellIs" priority="4" operator="equal" aboveAverage="0" equalAverage="0" bottom="0" percent="0" rank="0" text="" dxfId="7">
      <formula>"Bloqueado"</formula>
    </cfRule>
    <cfRule type="cellIs" priority="5" operator="equal" aboveAverage="0" equalAverage="0" bottom="0" percent="0" rank="0" text="" dxfId="7">
      <formula>"Dúvida"</formula>
    </cfRule>
    <cfRule type="cellIs" priority="6" operator="equal" aboveAverage="0" equalAverage="0" bottom="0" percent="0" rank="0" text="" dxfId="8">
      <formula>"N/A"</formula>
    </cfRule>
  </conditionalFormatting>
  <dataValidations count="1">
    <dataValidation allowBlank="true" errorStyle="stop" operator="between" showDropDown="false" showErrorMessage="false" showInputMessage="false" sqref="G2:G40" type="list">
      <formula1>"Passou,Falhou,Bloqueado,Dúvida,N/A,Não executado"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2"/>
  </cols>
  <sheetData>
    <row r="1" customFormat="false" ht="17.35" hidden="false" customHeight="false" outlineLevel="0" collapsed="false">
      <c r="A1" s="1" t="s">
        <v>186</v>
      </c>
    </row>
    <row r="3" customFormat="false" ht="15" hidden="false" customHeight="false" outlineLevel="0" collapsed="false">
      <c r="A3" s="8" t="s">
        <v>5</v>
      </c>
      <c r="B3" s="8" t="s">
        <v>187</v>
      </c>
    </row>
    <row r="4" customFormat="false" ht="15" hidden="false" customHeight="false" outlineLevel="0" collapsed="false">
      <c r="A4" s="9" t="s">
        <v>188</v>
      </c>
      <c r="B4" s="9" t="n">
        <f aca="false">COUNTIF('Casos Manuais (fluxo)'!$G$2:$G$40,A4)</f>
        <v>0</v>
      </c>
    </row>
    <row r="5" customFormat="false" ht="15" hidden="false" customHeight="false" outlineLevel="0" collapsed="false">
      <c r="A5" s="9" t="s">
        <v>189</v>
      </c>
      <c r="B5" s="9" t="n">
        <f aca="false">COUNTIF('Casos Manuais (fluxo)'!$G$2:$G$40,A5)</f>
        <v>0</v>
      </c>
    </row>
    <row r="6" customFormat="false" ht="15" hidden="false" customHeight="false" outlineLevel="0" collapsed="false">
      <c r="A6" s="9" t="s">
        <v>190</v>
      </c>
      <c r="B6" s="9" t="n">
        <f aca="false">COUNTIF('Casos Manuais (fluxo)'!$G$2:$G$40,A6)</f>
        <v>0</v>
      </c>
    </row>
    <row r="7" customFormat="false" ht="15" hidden="false" customHeight="false" outlineLevel="0" collapsed="false">
      <c r="A7" s="9" t="s">
        <v>191</v>
      </c>
      <c r="B7" s="9" t="n">
        <f aca="false">COUNTIF('Casos Manuais (fluxo)'!$G$2:$G$40,A7)</f>
        <v>0</v>
      </c>
    </row>
    <row r="8" customFormat="false" ht="15" hidden="false" customHeight="false" outlineLevel="0" collapsed="false">
      <c r="A8" s="9" t="s">
        <v>192</v>
      </c>
      <c r="B8" s="9" t="n">
        <f aca="false">COUNTIF('Casos Manuais (fluxo)'!$G$2:$G$40,A8)</f>
        <v>0</v>
      </c>
    </row>
    <row r="9" customFormat="false" ht="15" hidden="false" customHeight="false" outlineLevel="0" collapsed="false">
      <c r="A9" s="9" t="s">
        <v>27</v>
      </c>
      <c r="B9" s="9" t="n">
        <f aca="false">COUNTIF('Casos Manuais (fluxo)'!$G$2:$G$40,A9)</f>
        <v>39</v>
      </c>
    </row>
    <row r="10" customFormat="false" ht="15" hidden="false" customHeight="false" outlineLevel="0" collapsed="false">
      <c r="A10" s="10" t="s">
        <v>193</v>
      </c>
      <c r="B10" s="10" t="n">
        <f aca="false">SUM(B4:B9)</f>
        <v>39</v>
      </c>
    </row>
    <row r="11" customFormat="false" ht="15" hidden="false" customHeight="false" outlineLevel="0" collapsed="false">
      <c r="A11" s="9" t="s">
        <v>194</v>
      </c>
      <c r="B11" s="11" t="n">
        <f aca="false">IF(B10=0,0,(B10-B9)/B10)</f>
        <v>0</v>
      </c>
    </row>
    <row r="13" customFormat="false" ht="15" hidden="false" customHeight="false" outlineLevel="0" collapsed="false">
      <c r="A13" s="8" t="s">
        <v>14</v>
      </c>
      <c r="B13" s="8" t="s">
        <v>193</v>
      </c>
      <c r="C13" s="8" t="s">
        <v>188</v>
      </c>
      <c r="D13" s="8" t="s">
        <v>189</v>
      </c>
    </row>
    <row r="14" customFormat="false" ht="15" hidden="false" customHeight="false" outlineLevel="0" collapsed="false">
      <c r="A14" s="9" t="s">
        <v>23</v>
      </c>
      <c r="B14" s="9" t="n">
        <f aca="false">COUNTIF('Casos Manuais (fluxo)'!$B$2:$B$40,A14)</f>
        <v>5</v>
      </c>
      <c r="C14" s="9" t="n">
        <f aca="false">COUNTIFS('Casos Manuais (fluxo)'!$B$2:$B$40,A14,'Casos Manuais (fluxo)'!$G$2:$G$40,"Passou")</f>
        <v>0</v>
      </c>
      <c r="D14" s="9" t="n">
        <f aca="false">COUNTIFS('Casos Manuais (fluxo)'!$B$2:$B$40,A14,'Casos Manuais (fluxo)'!$G$2:$G$40,"Falhou")</f>
        <v>0</v>
      </c>
    </row>
    <row r="15" customFormat="false" ht="15" hidden="false" customHeight="false" outlineLevel="0" collapsed="false">
      <c r="A15" s="9" t="s">
        <v>45</v>
      </c>
      <c r="B15" s="9" t="n">
        <f aca="false">COUNTIF('Casos Manuais (fluxo)'!$B$2:$B$40,A15)</f>
        <v>6</v>
      </c>
      <c r="C15" s="9" t="n">
        <f aca="false">COUNTIFS('Casos Manuais (fluxo)'!$B$2:$B$40,A15,'Casos Manuais (fluxo)'!$G$2:$G$40,"Passou")</f>
        <v>0</v>
      </c>
      <c r="D15" s="9" t="n">
        <f aca="false">COUNTIFS('Casos Manuais (fluxo)'!$B$2:$B$40,A15,'Casos Manuais (fluxo)'!$G$2:$G$40,"Falhou")</f>
        <v>0</v>
      </c>
    </row>
    <row r="16" customFormat="false" ht="15" hidden="false" customHeight="false" outlineLevel="0" collapsed="false">
      <c r="A16" s="9" t="s">
        <v>70</v>
      </c>
      <c r="B16" s="9" t="n">
        <f aca="false">COUNTIF('Casos Manuais (fluxo)'!$B$2:$B$40,A16)</f>
        <v>5</v>
      </c>
      <c r="C16" s="9" t="n">
        <f aca="false">COUNTIFS('Casos Manuais (fluxo)'!$B$2:$B$40,A16,'Casos Manuais (fluxo)'!$G$2:$G$40,"Passou")</f>
        <v>0</v>
      </c>
      <c r="D16" s="9" t="n">
        <f aca="false">COUNTIFS('Casos Manuais (fluxo)'!$B$2:$B$40,A16,'Casos Manuais (fluxo)'!$G$2:$G$40,"Falhou")</f>
        <v>0</v>
      </c>
    </row>
    <row r="17" customFormat="false" ht="15" hidden="false" customHeight="false" outlineLevel="0" collapsed="false">
      <c r="A17" s="9" t="s">
        <v>91</v>
      </c>
      <c r="B17" s="9" t="n">
        <f aca="false">COUNTIF('Casos Manuais (fluxo)'!$B$2:$B$40,A17)</f>
        <v>6</v>
      </c>
      <c r="C17" s="9" t="n">
        <f aca="false">COUNTIFS('Casos Manuais (fluxo)'!$B$2:$B$40,A17,'Casos Manuais (fluxo)'!$G$2:$G$40,"Passou")</f>
        <v>0</v>
      </c>
      <c r="D17" s="9" t="n">
        <f aca="false">COUNTIFS('Casos Manuais (fluxo)'!$B$2:$B$40,A17,'Casos Manuais (fluxo)'!$G$2:$G$40,"Falhou")</f>
        <v>0</v>
      </c>
    </row>
    <row r="18" customFormat="false" ht="15" hidden="false" customHeight="false" outlineLevel="0" collapsed="false">
      <c r="A18" s="9" t="s">
        <v>116</v>
      </c>
      <c r="B18" s="9" t="n">
        <f aca="false">COUNTIF('Casos Manuais (fluxo)'!$B$2:$B$40,A18)</f>
        <v>6</v>
      </c>
      <c r="C18" s="9" t="n">
        <f aca="false">COUNTIFS('Casos Manuais (fluxo)'!$B$2:$B$40,A18,'Casos Manuais (fluxo)'!$G$2:$G$40,"Passou")</f>
        <v>0</v>
      </c>
      <c r="D18" s="9" t="n">
        <f aca="false">COUNTIFS('Casos Manuais (fluxo)'!$B$2:$B$40,A18,'Casos Manuais (fluxo)'!$G$2:$G$40,"Falhou")</f>
        <v>0</v>
      </c>
    </row>
    <row r="19" customFormat="false" ht="15" hidden="false" customHeight="false" outlineLevel="0" collapsed="false">
      <c r="A19" s="9" t="s">
        <v>141</v>
      </c>
      <c r="B19" s="9" t="n">
        <f aca="false">COUNTIF('Casos Manuais (fluxo)'!$B$2:$B$40,A19)</f>
        <v>5</v>
      </c>
      <c r="C19" s="9" t="n">
        <f aca="false">COUNTIFS('Casos Manuais (fluxo)'!$B$2:$B$40,A19,'Casos Manuais (fluxo)'!$G$2:$G$40,"Passou")</f>
        <v>0</v>
      </c>
      <c r="D19" s="9" t="n">
        <f aca="false">COUNTIFS('Casos Manuais (fluxo)'!$B$2:$B$40,A19,'Casos Manuais (fluxo)'!$G$2:$G$40,"Falhou")</f>
        <v>0</v>
      </c>
    </row>
    <row r="20" customFormat="false" ht="15" hidden="false" customHeight="false" outlineLevel="0" collapsed="false">
      <c r="A20" s="9" t="s">
        <v>162</v>
      </c>
      <c r="B20" s="9" t="n">
        <f aca="false">COUNTIF('Casos Manuais (fluxo)'!$B$2:$B$40,A20)</f>
        <v>6</v>
      </c>
      <c r="C20" s="9" t="n">
        <f aca="false">COUNTIFS('Casos Manuais (fluxo)'!$B$2:$B$40,A20,'Casos Manuais (fluxo)'!$G$2:$G$40,"Passou")</f>
        <v>0</v>
      </c>
      <c r="D20" s="9" t="n">
        <f aca="false">COUNTIFS('Casos Manuais (fluxo)'!$B$2:$B$40,A20,'Casos Manuais (fluxo)'!$G$2:$G$40,"Falhou")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2026-10-06T04:55:47Z</dcterms:created>
  <dc:creator>openpyxl</dc:creator>
  <dc:description/>
  <dc:language>en-US</dc:language>
  <cp:lastModifiedBy/>
  <dcterms:modified xsi:type="dcterms:W3CDTF">2026-10-06T04:55:47Z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