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Legenda"/>
    <sheet r:id="rId2" sheetId="2" name="Calculadora"/>
    <sheet r:id="rId3" sheetId="3" name="Produtos e Cupons"/>
    <sheet r:id="rId4" sheetId="4" name="Casos Manuais"/>
    <sheet r:id="rId5" sheetId="5" name="Casos API"/>
    <sheet r:id="rId6" sheetId="6" name="Bugs"/>
    <sheet r:id="rId7" sheetId="7" name="Ambiguidades"/>
    <sheet r:id="rId8" sheetId="8" name="Resumo"/>
  </sheets>
  <definedNames>
    <definedName name="_xlnm._FilterDatabase" localSheetId="4">'Casos API'!$A$1:$K$50</definedName>
    <definedName name="_xlnm._FilterDatabase" localSheetId="3">'Casos Manuais'!$A$1:$L$53</definedName>
  </definedNames>
  <calcPr fullCalcOnLoad="1"/>
</workbook>
</file>

<file path=xl/sharedStrings.xml><?xml version="1.0" encoding="utf-8"?>
<sst xmlns="http://schemas.openxmlformats.org/spreadsheetml/2006/main" count="997" uniqueCount="631">
  <si>
    <t>Resumo da execução</t>
  </si>
  <si>
    <t>Status</t>
  </si>
  <si>
    <t>Casos Manuais</t>
  </si>
  <si>
    <t>Casos API</t>
  </si>
  <si>
    <t>Total</t>
  </si>
  <si>
    <t>Passou</t>
  </si>
  <si>
    <t>Falhou</t>
  </si>
  <si>
    <t>Bloqueado</t>
  </si>
  <si>
    <t>Dúvida</t>
  </si>
  <si>
    <t>Não executado</t>
  </si>
  <si>
    <t>% executado</t>
  </si>
  <si>
    <t>Grupo (manuais)</t>
  </si>
  <si>
    <t>A. Cupom</t>
  </si>
  <si>
    <t>B. Frete</t>
  </si>
  <si>
    <t>C. Quantidade</t>
  </si>
  <si>
    <t>D. Arredondamento</t>
  </si>
  <si>
    <t>E. Checkout</t>
  </si>
  <si>
    <t>F. Exploratório</t>
  </si>
  <si>
    <t>Bugs (exceto exemplo)</t>
  </si>
  <si>
    <t>Quantidade</t>
  </si>
  <si>
    <t>Crítica</t>
  </si>
  <si>
    <t>Alta</t>
  </si>
  <si>
    <t>Média</t>
  </si>
  <si>
    <t>Baixa</t>
  </si>
  <si>
    <t>#</t>
  </si>
  <si>
    <t>Ponto ambíguo</t>
  </si>
  <si>
    <t>CA/Fonte</t>
  </si>
  <si>
    <t>O que a documentação diz</t>
  </si>
  <si>
    <t>Interpretação adotada (preencha)</t>
  </si>
  <si>
    <t>Caso relacionado</t>
  </si>
  <si>
    <t>Comportamento observado</t>
  </si>
  <si>
    <t>Método de arredondamento</t>
  </si>
  <si>
    <t>CA11</t>
  </si>
  <si>
    <t>&amp;apos;Arredondados para 2 casas decimais&amp;apos;, sem citar o método</t>
  </si>
  <si>
    <t>Comercial (half-up)</t>
  </si>
  <si>
    <t>CT-D1, API-12</t>
  </si>
  <si>
    <t>Cupom com espaço no meio (&amp;apos;BEM VINDO10&amp;apos;)</t>
  </si>
  <si>
    <t>CA02</t>
  </si>
  <si>
    <t>Só fala de espaços no início e no fim</t>
  </si>
  <si>
    <t>Cupom inválido</t>
  </si>
  <si>
    <t>CT-A2e</t>
  </si>
  <si>
    <t>Mesmo produto adicionado várias vezes pela UI (3 + 3)</t>
  </si>
  <si>
    <t>CA10</t>
  </si>
  <si>
    <t>Máximo de 5 unidades por produto por pedido</t>
  </si>
  <si>
    <t>O limite vale para a soma</t>
  </si>
  <si>
    <t>CT-C2c</t>
  </si>
  <si>
    <t>Cupom vazio, null ou só espaços</t>
  </si>
  <si>
    <t>CA02/CA03</t>
  </si>
  <si>
    <t>Não define</t>
  </si>
  <si>
    <t>Tratado como sem cupom</t>
  </si>
  <si>
    <t>API-17, CT-A7</t>
  </si>
  <si>
    <t>Cupom com tipo errado (número/objeto)</t>
  </si>
  <si>
    <t>API</t>
  </si>
  <si>
    <t>Erro de validação ou sem cupom; nunca 500</t>
  </si>
  <si>
    <t>API-18</t>
  </si>
  <si>
    <t>Trocar cupom sem remover o atual</t>
  </si>
  <si>
    <t>CA05</t>
  </si>
  <si>
    <t>&amp;apos;Para trocar, o cliente remove o cupom atual&amp;apos;</t>
  </si>
  <si>
    <t>UI deve impedir a aplicação do segundo</t>
  </si>
  <si>
    <t>CT-A5</t>
  </si>
  <si>
    <t>Mensagem de faltante quando já há frete grátis</t>
  </si>
  <si>
    <t>CA07</t>
  </si>
  <si>
    <t>Só descreve o caso abaixo de R$ 200</t>
  </si>
  <si>
    <t>Mensagem oculta ou R$ 0,00</t>
  </si>
  <si>
    <t>CT-B6</t>
  </si>
  <si>
    <t>Nome com espaços no fim (&amp;apos;Maria  &amp;apos;)</t>
  </si>
  <si>
    <t>Regras existentes</t>
  </si>
  <si>
    <t>Precisa de nome e sobrenome</t>
  </si>
  <si>
    <t>Rejeitar (sem sobrenome real)</t>
  </si>
  <si>
    <t>CT-E5</t>
  </si>
  <si>
    <t>Ordem de validação em /api/pedidos com vários erros</t>
  </si>
  <si>
    <t>Não define a precedência</t>
  </si>
  <si>
    <t>Anotar a ordem observada</t>
  </si>
  <si>
    <t>API-46</t>
  </si>
  <si>
    <t>Carrinho vazio: frete e total</t>
  </si>
  <si>
    <t>Regras</t>
  </si>
  <si>
    <t>Fórmula não cobre subtotal zero</t>
  </si>
  <si>
    <t>Frete 0 e total 0, ou bloquear finalização</t>
  </si>
  <si>
    <t>CT-F6</t>
  </si>
  <si>
    <t>Cupom aplicado antes de ter itens</t>
  </si>
  <si>
    <t>CA01</t>
  </si>
  <si>
    <t>Cupom permanece e aplica ao adicionar</t>
  </si>
  <si>
    <t>CT-A8</t>
  </si>
  <si>
    <t>A coluna E vem com uma sugestão inicial. Confirme ou troque pela sua própria interpretação.</t>
  </si>
  <si>
    <t>ID</t>
  </si>
  <si>
    <t>Título</t>
  </si>
  <si>
    <t>Severidade</t>
  </si>
  <si>
    <t>Prioridade</t>
  </si>
  <si>
    <t>CA violado</t>
  </si>
  <si>
    <t>Camada (UI/API)</t>
  </si>
  <si>
    <t>Pré-condição</t>
  </si>
  <si>
    <t>Passos para reproduzir</t>
  </si>
  <si>
    <t>Resultado esperado</t>
  </si>
  <si>
    <t>Resultado obtido</t>
  </si>
  <si>
    <t>Evidência</t>
  </si>
  <si>
    <t>Reprodutível?</t>
  </si>
  <si>
    <t>Status do bug</t>
  </si>
  <si>
    <t>BUG-EXEMPLO</t>
  </si>
  <si>
    <t>(EXEMPLO de formato, apague) Frete cobrado com subtotal exatamente R$ 200,00</t>
  </si>
  <si>
    <t>CA06</t>
  </si>
  <si>
    <t>UI e API</t>
  </si>
  <si>
    <t>Carrinho vazio</t>
  </si>
  <si>
    <t>1. Adicionar 2× Mochila Urbana 20L&amp;#10;2. Abrir o carrinho</t>
  </si>
  <si>
    <t>Frete R$ 0,00 e total R$ 200,00</t>
  </si>
  <si>
    <t>Frete R$ 19,90 e total R$ 219,90</t>
  </si>
  <si>
    <t>evidencias/BUG-001.png</t>
  </si>
  <si>
    <t>CT-B1a</t>
  </si>
  <si>
    <t>3/3</t>
  </si>
  <si>
    <t>Aberto</t>
  </si>
  <si>
    <t>BUG-001</t>
  </si>
  <si>
    <t>Frete é cobrado (R$ 19,90) quando o subtotal é exatamente R$ 200,00</t>
  </si>
  <si>
    <t xml:space="preserve">	CA06</t>
  </si>
  <si>
    <t xml:space="preserve">	UI (confirmar a API, veja a seção 4)</t>
  </si>
  <si>
    <t>Carrinho vazio, sem cupom aplicado</t>
  </si>
  <si>
    <t>1. Abrir a loja. 2. Adicionar 2 unidades de "Mochila Urbana 20L" (R$ 100,00 cada). 3. Abrir o carrinho. 4. Ver o "Resumo do pedido".</t>
  </si>
  <si>
    <t>Subtotal R$ 200,00, Frete R$ 0,00 (grátis). O CA06 diz "a partir de R$ 200,00, inclusive".</t>
  </si>
  <si>
    <t>Subtotal R$ 200,00, mas Frete R$ 19,90. Também acontece com 4× Garrafa Térmica 750ml e com 2× Mochila + BEMVINDO10.</t>
  </si>
  <si>
    <t>evidencias/ui/BUG-001.png</t>
  </si>
  <si>
    <t>CT-B1a, CT-B1b, CT-B4</t>
  </si>
  <si>
    <t>Sim: 3 de 3 cenários (confirme na mão e anote "3/3")</t>
  </si>
  <si>
    <t>BUG-002</t>
  </si>
  <si>
    <t>API aceita quantidade acima de 5 por produto em /api/carrinho/calcular e /api/pedidos</t>
  </si>
  <si>
    <t>Nenhuma</t>
  </si>
  <si>
    <t>1. Enviar POST /api/carrinho/calcular com itens P008, quantidade 6. 2. Repetir com quantidade 100. 3. Enviar POST /api/pedidos com cliente válido e itens P008, quantidade 6.</t>
  </si>
  <si>
    <t>Status 422 com erro.codigo = QUANTIDADE_MAXIMA_EXCEDIDA nos três casos. O CA10 diz que a regra vale para a interface e para a API.</t>
  </si>
  <si>
    <t>calcular: status 200, com subtotal R$ 300,00 (quantidade 6) e R$ 5.000,00 (quantidade 100). pedidos: status 201, pedido confirmado (VZ-483484) com quantidade 6 e total R$ 300,00. A interface bloqueia em 5 (botão desabilitado e aviso "Limite de 5 unidades atingido."), então o limite só existe na tela.</t>
  </si>
  <si>
    <t>evidencias/api/BUG-002-calcular.png e evidencias/api/BUG-002-pedidos.png</t>
  </si>
  <si>
    <t>API-32, API-44</t>
  </si>
  <si>
    <t>Sim (3 de 3)</t>
  </si>
  <si>
    <t>BUG-003</t>
  </si>
  <si>
    <t>Item sem produtoId retorna PRODUTO_NAO_ENCONTRADO em vez de ITEM_INVALIDO</t>
  </si>
  <si>
    <t>Tabela de códigos de erro da API (ITEM_INVALIDO)</t>
  </si>
  <si>
    <t>1. Enviar POST /api/carrinho/calcular com itens [{"quantidade":1}] (sem produtoId).</t>
  </si>
  <si>
    <t>Status 422 com código ITEM_INVALIDO. A documentação diz: "Um item não é um objeto com produtoId e quantidade".</t>
  </si>
  <si>
    <t>Status 422 com código PRODUTO_NAO_ENCONTRADO. O status HTTP está correto, só o código diverge da leitura literal da documentação.</t>
  </si>
  <si>
    <t>evidencias/api/BUG-003.png</t>
  </si>
  <si>
    <t>API-23</t>
  </si>
  <si>
    <t xml:space="preserve">	Sim (1 de 1)</t>
  </si>
  <si>
    <t>Sim (1 de 1)</t>
  </si>
  <si>
    <t>Endpoint</t>
  </si>
  <si>
    <t>Cenário</t>
  </si>
  <si>
    <t>Requisição (resumo)</t>
  </si>
  <si>
    <t>Status HTTP esperado</t>
  </si>
  <si>
    <t>Código/Resultado esperado</t>
  </si>
  <si>
    <t>Bug</t>
  </si>
  <si>
    <t>Data</t>
  </si>
  <si>
    <t>API-01</t>
  </si>
  <si>
    <t>GET /api/produtos</t>
  </si>
  <si>
    <t>Listar produtos</t>
  </si>
  <si>
    <t>GET</t>
  </si>
  <si>
    <t>8 produtos com id, nome, descricao, categoria, preco; preços conforme tabela</t>
  </si>
  <si>
    <t>API-02</t>
  </si>
  <si>
    <t>GET /api/produtos/{id}</t>
  </si>
  <si>
    <t>Id existente</t>
  </si>
  <si>
    <t>GET /api/produtos/P001</t>
  </si>
  <si>
    <t>Produto P001, Camiseta Essencial, preco 59.9</t>
  </si>
  <si>
    <t>API-03</t>
  </si>
  <si>
    <t>Id inexistente</t>
  </si>
  <si>
    <t>GET /api/produtos/P999</t>
  </si>
  <si>
    <t>erro.codigo = PRODUTO_NAO_ENCONTRADO</t>
  </si>
  <si>
    <t>API-04</t>
  </si>
  <si>
    <t>/api/produtos</t>
  </si>
  <si>
    <t>Método não permitido</t>
  </si>
  <si>
    <t>POST /api/produtos</t>
  </si>
  <si>
    <t>METODO_NAO_PERMITIDO</t>
  </si>
  <si>
    <t>API-05</t>
  </si>
  <si>
    <t>/api/xyz</t>
  </si>
  <si>
    <t>Rota inexistente</t>
  </si>
  <si>
    <t>GET /api/xyz</t>
  </si>
  <si>
    <t>ROTA_NAO_ENCONTRADA</t>
  </si>
  <si>
    <t>API-06</t>
  </si>
  <si>
    <t>POST /api/carrinho/calcular</t>
  </si>
  <si>
    <t>Sem cupom, abaixo de 200</t>
  </si>
  <si>
    <t>itens: P005×1</t>
  </si>
  <si>
    <t>subtotal 100 | desconto 0 | frete 19.9 | freteGratis false | faltante 100 | total 119.9</t>
  </si>
  <si>
    <t>API-07</t>
  </si>
  <si>
    <t>Cupom válido</t>
  </si>
  <si>
    <t>itens: P005×1, cupom BEMVINDO10</t>
  </si>
  <si>
    <t>desconto 10 | frete 19.9 | total 109.9 | cupom.aplicado true</t>
  </si>
  <si>
    <t>API-08</t>
  </si>
  <si>
    <t>Limite 200,00 exato</t>
  </si>
  <si>
    <t>itens: P005×2</t>
  </si>
  <si>
    <t>frete 0 | freteGratis true | faltante 0 | total 200</t>
  </si>
  <si>
    <t>API-09</t>
  </si>
  <si>
    <t>Frete grátis usa subtotal antes do cupom</t>
  </si>
  <si>
    <t>itens: P005×2, cupom BEMVINDO10</t>
  </si>
  <si>
    <t>subtotal 200 | desconto 20 | frete 0 | total 180</t>
  </si>
  <si>
    <t>API-10</t>
  </si>
  <si>
    <t>Desconto não incide no frete</t>
  </si>
  <si>
    <t>itens: P001×1 + P002×1, cupom BEMVINDO10</t>
  </si>
  <si>
    <t>subtotal 199.8 | desconto 19.98 | frete 19.9 | faltante 0.2 | total 199.72</t>
  </si>
  <si>
    <t>API-11</t>
  </si>
  <si>
    <t>Exemplo da documentação</t>
  </si>
  <si>
    <t>itens: P002×1 + P004×2, cupom BEMVINDO10</t>
  </si>
  <si>
    <t>subtotal 239.7 | desconto 23.97 | frete 0 | total 215.73</t>
  </si>
  <si>
    <t>API-12</t>
  </si>
  <si>
    <t>Arredondamento (float)</t>
  </si>
  <si>
    <t>itens: P001×3, cupom BEMVINDO10</t>
  </si>
  <si>
    <t>subtotal 179.7 | desconto 17.97 | total 181.63 (nenhum valor com 15+ casas, ex.: 179.70000000000002)</t>
  </si>
  <si>
    <t>API-13</t>
  </si>
  <si>
    <t>Cupom minúsculo</t>
  </si>
  <si>
    <t>cupom &amp;apos;bemvindo10&amp;apos;</t>
  </si>
  <si>
    <t>cupom.aplicado true | desconto 10 (P005×1)</t>
  </si>
  <si>
    <t>API-14</t>
  </si>
  <si>
    <t>Cupom com espaços</t>
  </si>
  <si>
    <t>cupom &amp;apos;  BEMVINDO10  &amp;apos;</t>
  </si>
  <si>
    <t>cupom.aplicado true | desconto 10</t>
  </si>
  <si>
    <t>API-15</t>
  </si>
  <si>
    <t>Cupom inexistente</t>
  </si>
  <si>
    <t>cupom NAOEXISTE</t>
  </si>
  <si>
    <t>desconto 0 | cupom.mensagem &amp;apos;Cupom inválido.&amp;apos; (não gera erro aqui)</t>
  </si>
  <si>
    <t>API-16</t>
  </si>
  <si>
    <t>Cupom expirado</t>
  </si>
  <si>
    <t>cupom VERAO2026</t>
  </si>
  <si>
    <t>desconto 0 | cupom.mensagem &amp;apos;Cupom expirado.&amp;apos;</t>
  </si>
  <si>
    <t>API-17</t>
  </si>
  <si>
    <t>Cupom null / vazio / só espaços</t>
  </si>
  <si>
    <t>cupom null, "", "   "</t>
  </si>
  <si>
    <t>Anotar (ambiguidade). Provável: tratado como sem cupom.</t>
  </si>
  <si>
    <t>Cupom em tipo errado</t>
  </si>
  <si>
    <t>cupom 123 e cupom {}</t>
  </si>
  <si>
    <t>a anotar</t>
  </si>
  <si>
    <t>Anotar comportamento (ambiguidade); não deve ser erro 500</t>
  </si>
  <si>
    <t>API-19</t>
  </si>
  <si>
    <t>Corpo não-JSON</t>
  </si>
  <si>
    <t>body: {abc</t>
  </si>
  <si>
    <t>JSON_INVALIDO</t>
  </si>
  <si>
    <t>API-20</t>
  </si>
  <si>
    <t>itens ausente</t>
  </si>
  <si>
    <t>{}</t>
  </si>
  <si>
    <t>ITENS_OBRIGATORIOS</t>
  </si>
  <si>
    <t>API-21</t>
  </si>
  <si>
    <t>itens vazio</t>
  </si>
  <si>
    <t>itens: []</t>
  </si>
  <si>
    <t>API-22</t>
  </si>
  <si>
    <t>item não é objeto</t>
  </si>
  <si>
    <t>itens: ["P001"]</t>
  </si>
  <si>
    <t>ITEM_INVALIDO</t>
  </si>
  <si>
    <t>item sem produtoId</t>
  </si>
  <si>
    <t>itens: [{"quantidade":1}]</t>
  </si>
  <si>
    <t>API-24</t>
  </si>
  <si>
    <t>produto inexistente</t>
  </si>
  <si>
    <t>itens: P999×1</t>
  </si>
  <si>
    <t>PRODUTO_NAO_ENCONTRADO</t>
  </si>
  <si>
    <t>API-25</t>
  </si>
  <si>
    <t>produto duplicado</t>
  </si>
  <si>
    <t>itens: P001×1 e P001×2</t>
  </si>
  <si>
    <t>ITEM_DUPLICADO</t>
  </si>
  <si>
    <t>API-26</t>
  </si>
  <si>
    <t>quantidade 0</t>
  </si>
  <si>
    <t>P001×0</t>
  </si>
  <si>
    <t>QUANTIDADE_INVALIDA</t>
  </si>
  <si>
    <t>API-27</t>
  </si>
  <si>
    <t>quantidade negativa</t>
  </si>
  <si>
    <t>P001×-1</t>
  </si>
  <si>
    <t>API-28</t>
  </si>
  <si>
    <t>quantidade decimal</t>
  </si>
  <si>
    <t>P001×1.5</t>
  </si>
  <si>
    <t>API-29</t>
  </si>
  <si>
    <t>quantidade como string</t>
  </si>
  <si>
    <t>P001×"2"</t>
  </si>
  <si>
    <t>API-30</t>
  </si>
  <si>
    <t>quantidade null</t>
  </si>
  <si>
    <t>P001×null</t>
  </si>
  <si>
    <t>API-31</t>
  </si>
  <si>
    <t>quantidade 5 (limite)</t>
  </si>
  <si>
    <t>P008×5</t>
  </si>
  <si>
    <t>subtotal 250 | frete 0</t>
  </si>
  <si>
    <t>API-32</t>
  </si>
  <si>
    <t>quantidade 6</t>
  </si>
  <si>
    <t>P008×6</t>
  </si>
  <si>
    <t>QUANTIDADE_MAXIMA_EXCEDIDA</t>
  </si>
  <si>
    <t>API-33</t>
  </si>
  <si>
    <t>Soma dos itens</t>
  </si>
  <si>
    <t>Qualquer carrinho com 2+ itens</t>
  </si>
  <si>
    <t>soma dos total dos itens = subtotal; total = subtotal − desconto + frete</t>
  </si>
  <si>
    <t>API-34</t>
  </si>
  <si>
    <t>POST /api/pedidos</t>
  </si>
  <si>
    <t>Pedido válido</t>
  </si>
  <si>
    <t>cliente válido; P005×1; BEMVINDO10</t>
  </si>
  <si>
    <t>numero ^VZ-\d{6}$ | cep 01310100 (sem hífen) | total 109.9</t>
  </si>
  <si>
    <t>API-35</t>
  </si>
  <si>
    <t>Pedido sem cupom</t>
  </si>
  <si>
    <t>cliente válido; P005×1</t>
  </si>
  <si>
    <t>total 119.9 | cupom ausente ou aplicado false (anotar)</t>
  </si>
  <si>
    <t>API-36</t>
  </si>
  <si>
    <t>CUPOM_INVALIDO</t>
  </si>
  <si>
    <t>API-37</t>
  </si>
  <si>
    <t>CUPOM_EXPIRADO</t>
  </si>
  <si>
    <t>API-38</t>
  </si>
  <si>
    <t>Nome sem sobrenome</t>
  </si>
  <si>
    <t>nome &amp;apos;Maria&amp;apos;</t>
  </si>
  <si>
    <t>DADOS_INVALIDOS, detalhes em campos</t>
  </si>
  <si>
    <t>API-39</t>
  </si>
  <si>
    <t>E-mail inválido</t>
  </si>
  <si>
    <t>maria@ | maria.com | @exemplo.com</t>
  </si>
  <si>
    <t>DADOS_INVALIDOS</t>
  </si>
  <si>
    <t>API-40</t>
  </si>
  <si>
    <t>CEP 7 dígitos / letras / 9 dígitos</t>
  </si>
  <si>
    <t>0131010 | abcde-fgh | 013101000</t>
  </si>
  <si>
    <t>API-41</t>
  </si>
  <si>
    <t>CEP sem hífen</t>
  </si>
  <si>
    <t>01310100</t>
  </si>
  <si>
    <t>cep normalizado 01310100</t>
  </si>
  <si>
    <t>API-42</t>
  </si>
  <si>
    <t>Vários dados inválidos</t>
  </si>
  <si>
    <t>nome, e-mail e CEP inválidos</t>
  </si>
  <si>
    <t>DADOS_INVALIDOS com todos os erros em campos</t>
  </si>
  <si>
    <t>API-43</t>
  </si>
  <si>
    <t>cliente ausente</t>
  </si>
  <si>
    <t>sem o objeto cliente</t>
  </si>
  <si>
    <t>Anotar código (provável DADOS_INVALIDOS)</t>
  </si>
  <si>
    <t>API-44</t>
  </si>
  <si>
    <t>Quantidade 6</t>
  </si>
  <si>
    <t>P008×6 com cliente válido</t>
  </si>
  <si>
    <t>API-45</t>
  </si>
  <si>
    <t>Itens vazio</t>
  </si>
  <si>
    <t>Erros combinados</t>
  </si>
  <si>
    <t>cliente inválido + quantidade 6</t>
  </si>
  <si>
    <t>Anotar qual erro vem primeiro (ambiguidade: ordem de validação)</t>
  </si>
  <si>
    <t>API-47</t>
  </si>
  <si>
    <t>Todas</t>
  </si>
  <si>
    <t>Formato do erro</t>
  </si>
  <si>
    <t>Qualquer resposta de erro</t>
  </si>
  <si>
    <t>—</t>
  </si>
  <si>
    <t>JSON {erro:{codigo,mensagem,campo}} e Content-Type application/json</t>
  </si>
  <si>
    <t>API-48</t>
  </si>
  <si>
    <t>Valores com no máximo 2 casas decimais</t>
  </si>
  <si>
    <t>Todas as respostas 200/201</t>
  </si>
  <si>
    <t>Nenhum número com ruído de ponto flutuante</t>
  </si>
  <si>
    <t>API-49</t>
  </si>
  <si>
    <t>Paridade UI × API</t>
  </si>
  <si>
    <t>Carrinho na tela vs. resposta no Network</t>
  </si>
  <si>
    <t>Mesmos valores</t>
  </si>
  <si>
    <t>Corpo base dos pedidos: {"cliente":{"nome":"Maria Silva","email":"maria@exemplo.com","cep":"01310-100"},"itens":[...],"cupom":"..."}. Base URL: https://verzel-store.qa-test-verzel-store.workers.dev</t>
  </si>
  <si>
    <t>Grupo</t>
  </si>
  <si>
    <t>CA</t>
  </si>
  <si>
    <t>Passos</t>
  </si>
  <si>
    <t>Evidência (arquivo)</t>
  </si>
  <si>
    <t>CT-A1</t>
  </si>
  <si>
    <t>Aplicar BEMVINDO10</t>
  </si>
  <si>
    <t>1. Adicionar 1× Mochila Urbana 20L&amp;#10;2. Abrir carrinho&amp;#10;3. Digitar BEMVINDO10 e aplicar</t>
  </si>
  <si>
    <t>Subtotal 100,00 | Desconto 10,00 | Frete 19,90 | Faltante 100,00 | Total 109,90</t>
  </si>
  <si>
    <t>CT-A2a</t>
  </si>
  <si>
    <t>Cupom em minúsculas</t>
  </si>
  <si>
    <t>1× Mochila no carrinho</t>
  </si>
  <si>
    <t>Aplicar &amp;apos;bemvindo10&amp;apos;</t>
  </si>
  <si>
    <t>Desconto 10,00 | Total 109,90</t>
  </si>
  <si>
    <t xml:space="preserve">passou </t>
  </si>
  <si>
    <t>aceita</t>
  </si>
  <si>
    <t>CT-A2b</t>
  </si>
  <si>
    <t>Cupom com caixa mista</t>
  </si>
  <si>
    <t>Aplicar &amp;apos;BemVindo10&amp;apos;</t>
  </si>
  <si>
    <t>passou</t>
  </si>
  <si>
    <t>CT-A2c</t>
  </si>
  <si>
    <t>Espaços no início</t>
  </si>
  <si>
    <t>Aplicar &amp;apos;   BEMVINDO10&amp;apos;</t>
  </si>
  <si>
    <t>CT-A2d</t>
  </si>
  <si>
    <t>Espaços no fim</t>
  </si>
  <si>
    <t>Aplicar &amp;apos;BEMVINDO10   &amp;apos;</t>
  </si>
  <si>
    <t>Espaço no meio (ambiguidade)</t>
  </si>
  <si>
    <t>Aplicar &amp;apos;BEM VINDO10&amp;apos;</t>
  </si>
  <si>
    <t>Não definido na doc. Registrar o que ocorre e a interpretação (provável: cupom inválido).</t>
  </si>
  <si>
    <t>rejeitado</t>
  </si>
  <si>
    <t>falhou</t>
  </si>
  <si>
    <t>CT-A3</t>
  </si>
  <si>
    <t>CA03</t>
  </si>
  <si>
    <t>Aplicar &amp;apos;NAOEXISTE&amp;apos;</t>
  </si>
  <si>
    <t>Mensagem exata &amp;apos;Cupom inválido.&amp;apos; | Desconto 0 | Total 119,90</t>
  </si>
  <si>
    <t>CT-A4</t>
  </si>
  <si>
    <t>CA04</t>
  </si>
  <si>
    <t>Aplicar &amp;apos;VERAO2026&amp;apos;</t>
  </si>
  <si>
    <t>Mensagem exata &amp;apos;Cupom expirado.&amp;apos; | Desconto 0 | Total 119,90</t>
  </si>
  <si>
    <t>Apenas um cupom por vez</t>
  </si>
  <si>
    <t>BEMVINDO10 já aplicado</t>
  </si>
  <si>
    <t>1. Tentar aplicar outro cupom sem remover&amp;#10;2. Remover o cupom&amp;#10;3. Aplicar VERAO2026</t>
  </si>
  <si>
    <t>Passo 1: UI impede ou exige remover. Passo 3: desconto do BEMVINDO10 desaparece e aparece &amp;apos;Cupom expirado.&amp;apos;</t>
  </si>
  <si>
    <t>CT-A6</t>
  </si>
  <si>
    <t>Cupom recalcula ao mudar quantidade</t>
  </si>
  <si>
    <t>BEMVINDO10 aplicado com 1× Mochila</t>
  </si>
  <si>
    <t>Mudar a quantidade da Mochila para 2</t>
  </si>
  <si>
    <t>Subtotal 200,00 | Desconto 20,00 | Frete 0,00 | Total 180,00</t>
  </si>
  <si>
    <t>CT-A7</t>
  </si>
  <si>
    <t>Cupom vazio</t>
  </si>
  <si>
    <t>Clicar em aplicar sem digitar</t>
  </si>
  <si>
    <t>Nada é aplicado; mensagem clara (anotar). Não deve quebrar a tela.</t>
  </si>
  <si>
    <t>Aplicar cupom antes de adicionar produto</t>
  </si>
  <si>
    <t>Aplicar BEMVINDO10, depois adicionar 1× Mochila</t>
  </si>
  <si>
    <t>Anotar. Se o cupom fica aplicado: desconto 10,00 | Total 109,90.</t>
  </si>
  <si>
    <t>CT-A9</t>
  </si>
  <si>
    <t>Esvaziar carrinho com cupom aplicado</t>
  </si>
  <si>
    <t>BEMVINDO10 aplicado</t>
  </si>
  <si>
    <t>Remover todos os itens</t>
  </si>
  <si>
    <t>Sem valores negativos; sem desconto fantasma (anotar).</t>
  </si>
  <si>
    <t>Limite exato R$ 200,00 (Mochila)</t>
  </si>
  <si>
    <t>Adicionar 2× Mochila</t>
  </si>
  <si>
    <t>Subtotal 200,00 | Frete 0,00 | Faltante 0,00 | Total 200,00</t>
  </si>
  <si>
    <t>Subtotal R$ 200,00 correto. Frete R$ 19,90 (esperado R$ 0,00).</t>
  </si>
  <si>
    <t>evidencias/ui/CT-B1a-falhou.png</t>
  </si>
  <si>
    <t>CT-B1b</t>
  </si>
  <si>
    <t>Limite exato R$ 200,00 (Garrafa)</t>
  </si>
  <si>
    <t>Adicionar 4× Garrafa Térmica 750ml</t>
  </si>
  <si>
    <t>Subtotal 200,00 | Frete 0,00 | Total 200,00</t>
  </si>
  <si>
    <t>evidencias/ui/CT-B1b-falhou.png</t>
  </si>
  <si>
    <t>CT-B2</t>
  </si>
  <si>
    <t>Um passo abaixo do limite</t>
  </si>
  <si>
    <t>Adicionar 1× Camiseta + 1× Calça Jeans</t>
  </si>
  <si>
    <t>Subtotal 199,80 | Frete 19,90 | Faltante 0,20 | Total 219,70</t>
  </si>
  <si>
    <t>CT-B3</t>
  </si>
  <si>
    <t>Frete fixo e aviso de faltante</t>
  </si>
  <si>
    <t>Adicionar 1× Mochila</t>
  </si>
  <si>
    <t>Frete 19,90 | Aviso: faltam R$ 100,00 | Total 119,90</t>
  </si>
  <si>
    <t>CT-B4</t>
  </si>
  <si>
    <t>CA08</t>
  </si>
  <si>
    <t>Frete usa subtotal ANTES do cupom</t>
  </si>
  <si>
    <t>Adicionar 2× Mochila e aplicar BEMVINDO10</t>
  </si>
  <si>
    <t>Desconto 20,00 | Frete 0,00 | Total 180,00 (se o frete virar 19,90, viola CA08)</t>
  </si>
  <si>
    <t>Subtotal R$ 200,00 e desconto R$ 20,00 corretos. Frete R$ 19,90 (esperado R$ 0,00).</t>
  </si>
  <si>
    <t>evidencias/ui/CT-B4-falhou.png</t>
  </si>
  <si>
    <t>CT-B5</t>
  </si>
  <si>
    <t>CA09</t>
  </si>
  <si>
    <t>Desconto não incide sobre o frete</t>
  </si>
  <si>
    <t>Adicionar Camiseta + Calça e aplicar BEMVINDO10</t>
  </si>
  <si>
    <t>Subtotal 199,80 | Desconto 19,98 | Frete 19,90 (inteiro) | Total 199,72</t>
  </si>
  <si>
    <t>Frete grátis bem acima do limite</t>
  </si>
  <si>
    <t>Adicionar 1× Jaqueta Corta-Vento</t>
  </si>
  <si>
    <t>Subtotal 229,90 | Frete 0,00 | Faltante 0,00 (mensagem oculta ou R$ 0,00) | Total 229,90</t>
  </si>
  <si>
    <t>CT-B7</t>
  </si>
  <si>
    <t>Cruzar o limite subindo e descendo</t>
  </si>
  <si>
    <t>1. 2× Mochila (200,00)&amp;#10;2. Reduzir para 1× (100,00)&amp;#10;3. Subir de novo para 2×</t>
  </si>
  <si>
    <t>Frete 0,00 → 19,90 → 0,00 e faltante atualiza a cada passo</t>
  </si>
  <si>
    <t>CT-B8</t>
  </si>
  <si>
    <t>Cupom + subtotal logo abaixo do limite</t>
  </si>
  <si>
    <t>Camiseta + Calça + BEMVINDO10</t>
  </si>
  <si>
    <t>Frete 19,90 (subtotal 199,80 &lt; 200,00) | Total 199,72</t>
  </si>
  <si>
    <t>CT-C1</t>
  </si>
  <si>
    <t>Exatamente 5 unidades</t>
  </si>
  <si>
    <t>Adicionar 5× Garrafa Térmica</t>
  </si>
  <si>
    <t>Aceita | Subtotal 250,00 | Frete 0,00 | Total 250,00</t>
  </si>
  <si>
    <t>CT-C2a</t>
  </si>
  <si>
    <t>6 unidades pelo botão +</t>
  </si>
  <si>
    <t>5× Garrafa no carrinho</t>
  </si>
  <si>
    <t>Clicar em + de novo</t>
  </si>
  <si>
    <t>Bloqueia ou avisa; quantidade permanece 5</t>
  </si>
  <si>
    <t>CT-C2b</t>
  </si>
  <si>
    <t>6 unidades digitando no campo</t>
  </si>
  <si>
    <t>Carrinho com Garrafa</t>
  </si>
  <si>
    <t>Digitar 6 no campo de quantidade</t>
  </si>
  <si>
    <t>Bloqueia, ajusta para 5 ou mostra erro; nunca aceita 6 em silêncio</t>
  </si>
  <si>
    <t>6 unidades via &amp;apos;Adicionar&amp;apos; repetido</t>
  </si>
  <si>
    <t>Clicar 6× em Adicionar na lista de produtos</t>
  </si>
  <si>
    <t>Soma não passa de 5 (ambiguidade: registrar o comportamento)</t>
  </si>
  <si>
    <t>CT-C2d</t>
  </si>
  <si>
    <t>Limite aplicado em cada produto separadamente</t>
  </si>
  <si>
    <t>5× Garrafa + 5× Boné</t>
  </si>
  <si>
    <t>Aceita (limite é por produto) | Subtotal 499,50</t>
  </si>
  <si>
    <t>CT-C3</t>
  </si>
  <si>
    <t>Valores inválidos no campo</t>
  </si>
  <si>
    <t>1× Garrafa no carrinho</t>
  </si>
  <si>
    <t>Digitar: 0, -1, 1,5, abc, 99, vazio</t>
  </si>
  <si>
    <t>Nenhum valor inválido é aceito em silêncio; anotar o resultado de cada um</t>
  </si>
  <si>
    <t>CT-C4</t>
  </si>
  <si>
    <t>Reduzir abaixo de 1</t>
  </si>
  <si>
    <t>1× produto no carrinho</t>
  </si>
  <si>
    <t>Clicar em − com quantidade 1</t>
  </si>
  <si>
    <t>Remove o item ou bloqueia (anotar); sem quantidade 0 ou negativa</t>
  </si>
  <si>
    <t>CT-D1</t>
  </si>
  <si>
    <t>3× Camiseta com cupom</t>
  </si>
  <si>
    <t>Adicionar 3× Camiseta e aplicar BEMVINDO10</t>
  </si>
  <si>
    <t>Subtotal 179,70 | Desconto 17,97 | Frete 19,90 | Faltante 20,30 | Total 181,63</t>
  </si>
  <si>
    <t>CT-D2a</t>
  </si>
  <si>
    <t>3× Boné com cupom</t>
  </si>
  <si>
    <t>Adicionar 3× Boné e aplicar BEMVINDO10</t>
  </si>
  <si>
    <t>Subtotal 149,70 | Desconto 14,97 | Frete 19,90 | Faltante 50,30 | Total 154,63</t>
  </si>
  <si>
    <t>CT-D2b</t>
  </si>
  <si>
    <t>3× Meias com cupom</t>
  </si>
  <si>
    <t>Adicionar 3× Kit Meias e aplicar BEMVINDO10</t>
  </si>
  <si>
    <t>Subtotal 89,70 | Desconto 8,97 | Frete 19,90 | Faltante 110,30 | Total 100,63</t>
  </si>
  <si>
    <t>CT-D3</t>
  </si>
  <si>
    <t>Formatação de moeda</t>
  </si>
  <si>
    <t>Qualquer carrinho</t>
  </si>
  <si>
    <t>Conferir se todos os valores aparecem como R$ 1.234,56 (2 casas, vírgula)</t>
  </si>
  <si>
    <t>Nenhum valor como 17.970000001, R$ 0,1 ou 1234.5</t>
  </si>
  <si>
    <t>CT-D4</t>
  </si>
  <si>
    <t>Carrinho misto</t>
  </si>
  <si>
    <t>1× Tênis (189,90) + 1× Meias (29,90) + 1× Boné (49,90) + BEMVINDO10</t>
  </si>
  <si>
    <t>Subtotal 269,70 | Desconto 26,97 | Frete 0,00 | Total 242,73</t>
  </si>
  <si>
    <t>CT-E1</t>
  </si>
  <si>
    <t>Pedido válido sem cupom</t>
  </si>
  <si>
    <t>Preencher Maria Silva / maria@exemplo.com / 01310-100 e confirmar</t>
  </si>
  <si>
    <t>Número no formato VZ-000000; resumo igual ao carrinho (Total 119,90)</t>
  </si>
  <si>
    <t>CT-E2</t>
  </si>
  <si>
    <t>Pedido válido com cupom</t>
  </si>
  <si>
    <t>1× Mochila + BEMVINDO10</t>
  </si>
  <si>
    <t>Confirmar pedido</t>
  </si>
  <si>
    <t>VZ-000000; Desconto 10,00 | Frete 19,90 | Total 109,90</t>
  </si>
  <si>
    <t>CT-E3</t>
  </si>
  <si>
    <t>Item no carrinho</t>
  </si>
  <si>
    <t>Nome &amp;apos;Maria&amp;apos;</t>
  </si>
  <si>
    <t>Rejeita com mensagem no campo</t>
  </si>
  <si>
    <t>CT-E4</t>
  </si>
  <si>
    <t>Nome vazio</t>
  </si>
  <si>
    <t>Deixar nome em branco</t>
  </si>
  <si>
    <t>Rejeita</t>
  </si>
  <si>
    <t>Nome com espaço no fim (ambiguidade)</t>
  </si>
  <si>
    <t>Nome &amp;apos;Maria   &amp;apos;</t>
  </si>
  <si>
    <t>Rejeita (sem sobrenome real). Registrar interpretação.</t>
  </si>
  <si>
    <t>CT-E6</t>
  </si>
  <si>
    <t>Testar: maria@ | maria.com | @exemplo.com | maria @x.com</t>
  </si>
  <si>
    <t>Rejeita todos</t>
  </si>
  <si>
    <t>CT-E7</t>
  </si>
  <si>
    <t>CEP com hífen</t>
  </si>
  <si>
    <t>01310-100</t>
  </si>
  <si>
    <t>Aceita</t>
  </si>
  <si>
    <t>CT-E8</t>
  </si>
  <si>
    <t>CT-E9</t>
  </si>
  <si>
    <t>CEP inválido</t>
  </si>
  <si>
    <t>Testar: 0131010 (7) | 013101000 (9) | abcde-fgh | vazio</t>
  </si>
  <si>
    <t>CT-E10</t>
  </si>
  <si>
    <t>Todos os campos vazios</t>
  </si>
  <si>
    <t>Confirmar sem preencher nada</t>
  </si>
  <si>
    <t>Todos os erros aparecem (não só o primeiro)</t>
  </si>
  <si>
    <t>CT-E11</t>
  </si>
  <si>
    <t>Sem etapa de pagamento online</t>
  </si>
  <si>
    <t>Percorrer o fluxo até o fim</t>
  </si>
  <si>
    <t>Não existe pagamento online (pago na entrega). Etapa de pagamento = divergência.</t>
  </si>
  <si>
    <t>CT-E12</t>
  </si>
  <si>
    <t>Clique duplo em Confirmar</t>
  </si>
  <si>
    <t>Dados válidos preenchidos</t>
  </si>
  <si>
    <t>Clicar rápido 2× em Confirmar</t>
  </si>
  <si>
    <t>Não gera erro nem duas confirmações (anotar)</t>
  </si>
  <si>
    <t>CT-F1</t>
  </si>
  <si>
    <t>Voltar e recarregar</t>
  </si>
  <si>
    <t>Carrinho com itens e cupom</t>
  </si>
  <si>
    <t>F5 no carrinho; botão Voltar do navegador</t>
  </si>
  <si>
    <t>Carrinho persiste na aba (esperado). Cupom: anotar se persiste.</t>
  </si>
  <si>
    <t>CT-F2</t>
  </si>
  <si>
    <t>Consistência UI × API</t>
  </si>
  <si>
    <t>DevTools &gt; Network</t>
  </si>
  <si>
    <t>Comparar resposta de /api/carrinho/calcular com a tela</t>
  </si>
  <si>
    <t>Valores idênticos. Divergência = bug de UI.</t>
  </si>
  <si>
    <t>CT-F3</t>
  </si>
  <si>
    <t>Responsividade</t>
  </si>
  <si>
    <t>Largura 375px</t>
  </si>
  <si>
    <t>Percorrer produtos, carrinho e checkout</t>
  </si>
  <si>
    <t>Sem texto cortado, sem rolagem horizontal, botões clicáveis</t>
  </si>
  <si>
    <t>CT-F4</t>
  </si>
  <si>
    <t>Teclado</t>
  </si>
  <si>
    <t>Qualquer tela</t>
  </si>
  <si>
    <t>Tab/Shift+Tab/Enter nos formulários</t>
  </si>
  <si>
    <t>Foco visível; Enter aplica cupom/envia formulário</t>
  </si>
  <si>
    <t>CT-F5</t>
  </si>
  <si>
    <t>Textos e acentuação</t>
  </si>
  <si>
    <t>Ler mensagens e rótulos</t>
  </si>
  <si>
    <t>Português correto, sem inglês nem códigos técnicos expostos</t>
  </si>
  <si>
    <t>Abrir o carrinho e tentar finalizar</t>
  </si>
  <si>
    <t>Mensagem amigável; não permite confirmar pedido vazio</t>
  </si>
  <si>
    <t>Id</t>
  </si>
  <si>
    <t>Produto</t>
  </si>
  <si>
    <t>Preço (R$)</t>
  </si>
  <si>
    <t>Cupom</t>
  </si>
  <si>
    <t>Desconto</t>
  </si>
  <si>
    <t>Situação</t>
  </si>
  <si>
    <t>P001</t>
  </si>
  <si>
    <t>Camiseta Essencial</t>
  </si>
  <si>
    <t>BEMVINDO10</t>
  </si>
  <si>
    <t>Válido</t>
  </si>
  <si>
    <t>P002</t>
  </si>
  <si>
    <t>Calça Jeans Slim</t>
  </si>
  <si>
    <t>VERAO2026</t>
  </si>
  <si>
    <t>Expirado em 31/03/2026</t>
  </si>
  <si>
    <t>P003</t>
  </si>
  <si>
    <t>Tênis Casual Urbano</t>
  </si>
  <si>
    <t>(sem cupom)</t>
  </si>
  <si>
    <t>-</t>
  </si>
  <si>
    <t>P004</t>
  </si>
  <si>
    <t>Boné Aba Curva</t>
  </si>
  <si>
    <t>NAOEXISTE</t>
  </si>
  <si>
    <t>Inexistente</t>
  </si>
  <si>
    <t>P005</t>
  </si>
  <si>
    <t>Mochila Urbana 20L</t>
  </si>
  <si>
    <t>P006</t>
  </si>
  <si>
    <t>Kit 3 Pares de Meias</t>
  </si>
  <si>
    <t>P007</t>
  </si>
  <si>
    <t>Jaqueta Corta-Vento</t>
  </si>
  <si>
    <t>P008</t>
  </si>
  <si>
    <t>Garrafa Térmica 750ml</t>
  </si>
  <si>
    <t>Regras fixas</t>
  </si>
  <si>
    <t>Frete grátis a partir de (R$)</t>
  </si>
  <si>
    <t>Frete fixo (R$)</t>
  </si>
  <si>
    <t>Máximo por produto</t>
  </si>
  <si>
    <t>Fonte: documentação do card VZS-142 (valores informados pelo enunciado).</t>
  </si>
  <si>
    <t>Calculadora de valores esperados</t>
  </si>
  <si>
    <t>Preencha as células amarelas. Fórmula: total = subtotal − desconto + frete. Valores arredondados a 2 casas (CA11).</t>
  </si>
  <si>
    <t>Preço unit.</t>
  </si>
  <si>
    <t>Total do item</t>
  </si>
  <si>
    <t>Qtd válida? (≤5)</t>
  </si>
  <si>
    <t>Percentual do cupom válido</t>
  </si>
  <si>
    <t>Situação do cupom</t>
  </si>
  <si>
    <t>Subtotal</t>
  </si>
  <si>
    <t>Desconto (sobre subtotal, CA01/CA09)</t>
  </si>
  <si>
    <t>Frete (CA06/CA07/CA08)</t>
  </si>
  <si>
    <t>Faltante p/ frete grátis</t>
  </si>
  <si>
    <t>TOTAL esperado</t>
  </si>
  <si>
    <t>Observações: subtotal vazio (carrinho vazio) assume frete R$ 0,00 e faltante R$ 0,00 só para evitar confusão; o comportamento real do carrinho vazio deve ser anotado como dúvida.</t>
  </si>
  <si>
    <t>Premissa: arredondamento comercial (ROUND do Excel). Ver aba Ambiguidades.</t>
  </si>
  <si>
    <t>Planilha de testes: Verzel Store (VZS-142, v2.3.0)</t>
  </si>
  <si>
    <t>Aba</t>
  </si>
  <si>
    <t>Para que serve</t>
  </si>
  <si>
    <t>Calculadora</t>
  </si>
  <si>
    <t>Digite quantidades e escolha o cupom. A planilha calcula o valor ESPERADO (subtotal, desconto, frete, faltante, total). Calcule antes de olhar a loja.</t>
  </si>
  <si>
    <t>Roteiro dos testes de UI. Preencha as colunas amarelas: Resultado obtido, Status, Bug, Evidência, Data.</t>
  </si>
  <si>
    <t>Roteiro dos testes de API (Postman/curl). Mesmas colunas amarelas.</t>
  </si>
  <si>
    <t>Bugs</t>
  </si>
  <si>
    <t>Registro dos bugs encontrados. A linha BUG-EXEMPLO mostra o formato (apague ou substitua).</t>
  </si>
  <si>
    <t>Ambiguidades</t>
  </si>
  <si>
    <t>Pontos em que a documentação não define o comportamento. Escreva a interpretação adotada.</t>
  </si>
  <si>
    <t>Resumo</t>
  </si>
  <si>
    <t>Contagens automáticas por status e por grupo. Não precisa editar.</t>
  </si>
  <si>
    <t>Produtos e Cupons</t>
  </si>
  <si>
    <t>Dados fixos da documentação (usados pela Calculadora).</t>
  </si>
  <si>
    <t>Convenções</t>
  </si>
  <si>
    <t>Células amarelas</t>
  </si>
  <si>
    <t>Você preenche.</t>
  </si>
  <si>
    <t>Texto azul</t>
  </si>
  <si>
    <t>Valor de entrada (editável).</t>
  </si>
  <si>
    <t>Escolha na lista: Passou, Falhou, Bloqueado, Dúvida, Não executado.</t>
  </si>
  <si>
    <t>Esperado</t>
  </si>
  <si>
    <t>Valores calculados a partir das regras da documentação (CA01 a CA11). Se a loja divergir, é candidato a bug.</t>
  </si>
  <si>
    <t>Fora do escopo</t>
  </si>
  <si>
    <t>Carga, estresse, segurança, login, pagamento online, consulta de pedidos. O que está em &amp;apos;Sobre este ambiente&amp;apos; não é bug.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</si>
</sst>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i/>
      <sz val="10"/>
      <color rgb="FF7f7f7f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9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2" applyBorder="1" fontId="3" applyFont="1" fillId="2" applyFill="1" applyAlignment="1">
      <alignment horizontal="center"/>
    </xf>
    <xf xfId="0" numFmtId="3" applyNumberFormat="1" borderId="2" applyBorder="1" fontId="3" applyFont="1" fillId="2" applyFill="1" applyAlignment="1">
      <alignment horizontal="center"/>
    </xf>
    <xf xfId="0" numFmtId="0" borderId="2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0" borderId="2" applyBorder="1" fontId="5" applyFont="1" fillId="0" applyAlignment="1">
      <alignment horizontal="left"/>
    </xf>
    <xf xfId="0" numFmtId="3" applyNumberFormat="1" borderId="2" applyBorder="1" fontId="5" applyFont="1" fillId="0" applyAlignment="1">
      <alignment horizontal="right"/>
    </xf>
    <xf xfId="0" numFmtId="164" applyNumberFormat="1" borderId="2" applyBorder="1" fontId="4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2" applyBorder="1" fontId="6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7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8" applyFont="1" fillId="0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14" applyNumberFormat="1" borderId="2" applyBorder="1" fontId="3" applyFont="1" fillId="2" applyFill="1" applyAlignment="1">
      <alignment horizontal="center"/>
    </xf>
    <xf xfId="0" numFmtId="14" applyNumberFormat="1" borderId="2" applyBorder="1" fontId="6" applyFont="1" fillId="3" applyFill="1" applyAlignment="1">
      <alignment horizontal="left"/>
    </xf>
    <xf xfId="0" numFmtId="14" applyNumberFormat="1" borderId="0" fontId="0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164" applyNumberFormat="1" borderId="2" applyBorder="1" fontId="3" applyFont="1" fillId="2" applyFill="1" applyAlignment="1">
      <alignment horizontal="left"/>
    </xf>
    <xf xfId="0" numFmtId="7" applyNumberFormat="1" borderId="2" applyBorder="1" fontId="6" applyFont="1" fillId="0" applyAlignment="1">
      <alignment horizontal="right"/>
    </xf>
    <xf xfId="0" numFmtId="164" applyNumberFormat="1" borderId="2" applyBorder="1" fontId="6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7" applyNumberFormat="1" borderId="1" applyBorder="1" fontId="6" applyFont="1" fillId="0" applyAlignment="1">
      <alignment horizontal="right"/>
    </xf>
    <xf xfId="0" numFmtId="3" applyNumberFormat="1" borderId="1" applyBorder="1" fontId="6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7" applyNumberFormat="1" borderId="1" applyBorder="1" fontId="2" applyFont="1" fillId="0" applyAlignment="1">
      <alignment horizontal="right"/>
    </xf>
    <xf xfId="0" numFmtId="7" applyNumberFormat="1" borderId="2" applyBorder="1" fontId="3" applyFont="1" fillId="2" applyFill="1" applyAlignment="1">
      <alignment horizontal="center"/>
    </xf>
    <xf xfId="0" numFmtId="0" borderId="2" applyBorder="1" fontId="4" applyFont="1" fillId="0" applyAlignment="1">
      <alignment horizontal="left"/>
    </xf>
    <xf xfId="0" numFmtId="7" applyNumberFormat="1" borderId="2" applyBorder="1" fontId="4" applyFont="1" fillId="0" applyAlignment="1">
      <alignment horizontal="left"/>
    </xf>
    <xf xfId="0" numFmtId="7" applyNumberFormat="1" borderId="2" applyBorder="1" fontId="4" applyFont="1" fillId="0" applyAlignment="1">
      <alignment horizontal="right"/>
    </xf>
    <xf xfId="0" numFmtId="3" applyNumberFormat="1" borderId="2" applyBorder="1" fontId="6" applyFont="1" fillId="3" applyFill="1" applyAlignment="1">
      <alignment horizontal="right"/>
    </xf>
    <xf xfId="0" numFmtId="7" applyNumberFormat="1" borderId="3" applyBorder="1" fontId="6" applyFont="1" fillId="3" applyFill="1" applyAlignment="1">
      <alignment horizontal="left"/>
    </xf>
    <xf xfId="0" numFmtId="164" applyNumberFormat="1" borderId="1" applyBorder="1" fontId="4" applyFont="1" fillId="0" applyAlignment="1">
      <alignment horizontal="right"/>
    </xf>
    <xf xfId="0" numFmtId="7" applyNumberFormat="1" borderId="1" applyBorder="1" fontId="4" applyFont="1" fillId="0" applyAlignment="1">
      <alignment horizontal="left"/>
    </xf>
    <xf xfId="0" numFmtId="7" applyNumberFormat="1" borderId="1" applyBorder="1" fontId="4" applyFont="1" fillId="0" applyAlignment="1">
      <alignment horizontal="right"/>
    </xf>
    <xf xfId="0" numFmtId="0" borderId="1" applyBorder="1" fontId="9" applyFont="1" fillId="0" applyAlignment="1">
      <alignment horizontal="left"/>
    </xf>
    <xf xfId="0" numFmtId="7" applyNumberFormat="1" borderId="1" applyBorder="1" fontId="9" applyFont="1" fillId="0" applyAlignment="1">
      <alignment horizontal="right"/>
    </xf>
    <xf xfId="0" numFmtId="7" applyNumberFormat="1" borderId="0" fontId="0" fillId="0" applyAlignment="1">
      <alignment horizontal="general"/>
    </xf>
    <xf xfId="0" numFmtId="0" borderId="3" applyBorder="1" fontId="3" applyFont="1" fillId="2" applyFill="1" applyAlignment="1">
      <alignment horizontal="left"/>
    </xf>
    <xf xfId="0" numFmtId="0" borderId="3" applyBorder="1" fontId="4" applyFont="1" fillId="2" applyFill="1" applyAlignment="1">
      <alignment horizontal="left"/>
    </xf>
    <xf xfId="0" numFmtId="0" borderId="3" applyBorder="1" fontId="5" applyFont="1" fillId="3" applyFill="1" applyAlignment="1">
      <alignment horizontal="left"/>
    </xf>
    <xf xfId="0" numFmtId="0" borderId="1" applyBorder="1" fontId="6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5" x14ac:dyDescent="0.25"/>
  <cols>
    <col min="1" max="1" style="11" width="28.005" customWidth="1" bestFit="1"/>
    <col min="2" max="2" style="11" width="95.005" customWidth="1" bestFit="1"/>
  </cols>
  <sheetData>
    <row x14ac:dyDescent="0.25" r="1" customHeight="1" ht="22.5">
      <c r="A1" s="1" t="s">
        <v>606</v>
      </c>
      <c r="B1" s="29"/>
    </row>
    <row x14ac:dyDescent="0.25" r="2" customHeight="1" ht="18.75">
      <c r="A2" s="28"/>
      <c r="B2" s="29"/>
    </row>
    <row x14ac:dyDescent="0.25" r="3" customHeight="1" ht="18.75">
      <c r="A3" s="46" t="s">
        <v>607</v>
      </c>
      <c r="B3" s="46" t="s">
        <v>608</v>
      </c>
    </row>
    <row x14ac:dyDescent="0.25" r="4" customHeight="1" ht="18.75">
      <c r="A4" s="28" t="s">
        <v>609</v>
      </c>
      <c r="B4" s="29" t="s">
        <v>610</v>
      </c>
    </row>
    <row x14ac:dyDescent="0.25" r="5" customHeight="1" ht="18.75">
      <c r="A5" s="28" t="s">
        <v>2</v>
      </c>
      <c r="B5" s="29" t="s">
        <v>611</v>
      </c>
    </row>
    <row x14ac:dyDescent="0.25" r="6" customHeight="1" ht="18.75">
      <c r="A6" s="28" t="s">
        <v>3</v>
      </c>
      <c r="B6" s="29" t="s">
        <v>612</v>
      </c>
    </row>
    <row x14ac:dyDescent="0.25" r="7" customHeight="1" ht="18.75">
      <c r="A7" s="28" t="s">
        <v>613</v>
      </c>
      <c r="B7" s="29" t="s">
        <v>614</v>
      </c>
    </row>
    <row x14ac:dyDescent="0.25" r="8" customHeight="1" ht="18.75">
      <c r="A8" s="28" t="s">
        <v>615</v>
      </c>
      <c r="B8" s="29" t="s">
        <v>616</v>
      </c>
    </row>
    <row x14ac:dyDescent="0.25" r="9" customHeight="1" ht="18.75">
      <c r="A9" s="28" t="s">
        <v>617</v>
      </c>
      <c r="B9" s="29" t="s">
        <v>618</v>
      </c>
    </row>
    <row x14ac:dyDescent="0.25" r="10" customHeight="1" ht="18.75">
      <c r="A10" s="28" t="s">
        <v>619</v>
      </c>
      <c r="B10" s="29" t="s">
        <v>620</v>
      </c>
    </row>
    <row x14ac:dyDescent="0.25" r="11" customHeight="1" ht="18.75">
      <c r="A11" s="28"/>
      <c r="B11" s="29"/>
    </row>
    <row x14ac:dyDescent="0.25" r="12" customHeight="1" ht="18.75">
      <c r="A12" s="46" t="s">
        <v>621</v>
      </c>
      <c r="B12" s="47"/>
    </row>
    <row x14ac:dyDescent="0.25" r="13" customHeight="1" ht="18.75">
      <c r="A13" s="48" t="s">
        <v>622</v>
      </c>
      <c r="B13" s="29" t="s">
        <v>623</v>
      </c>
    </row>
    <row x14ac:dyDescent="0.25" r="14" customHeight="1" ht="18.75">
      <c r="A14" s="49" t="s">
        <v>624</v>
      </c>
      <c r="B14" s="29" t="s">
        <v>625</v>
      </c>
    </row>
    <row x14ac:dyDescent="0.25" r="15" customHeight="1" ht="18.75">
      <c r="A15" s="28" t="s">
        <v>1</v>
      </c>
      <c r="B15" s="29" t="s">
        <v>626</v>
      </c>
    </row>
    <row x14ac:dyDescent="0.25" r="16" customHeight="1" ht="18.75">
      <c r="A16" s="28" t="s">
        <v>627</v>
      </c>
      <c r="B16" s="29" t="s">
        <v>628</v>
      </c>
    </row>
    <row x14ac:dyDescent="0.25" r="17" customHeight="1" ht="18.75">
      <c r="A17" s="28" t="s">
        <v>629</v>
      </c>
      <c r="B17" s="29" t="s">
        <v>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5"/>
  <sheetViews>
    <sheetView workbookViewId="0"/>
  </sheetViews>
  <sheetFormatPr defaultRowHeight="15" x14ac:dyDescent="0.25"/>
  <cols>
    <col min="1" max="1" style="11" width="38.005" customWidth="1" bestFit="1"/>
    <col min="2" max="2" style="45" width="30.005" customWidth="1" bestFit="1"/>
    <col min="3" max="3" style="45" width="14.005" customWidth="1" bestFit="1"/>
    <col min="4" max="4" style="13" width="14.005" customWidth="1" bestFit="1"/>
    <col min="5" max="5" style="45" width="16.005" customWidth="1" bestFit="1"/>
    <col min="6" max="6" style="17" width="18.005" customWidth="1" bestFit="1"/>
  </cols>
  <sheetData>
    <row x14ac:dyDescent="0.25" r="1" customHeight="1" ht="18.75">
      <c r="A1" s="1" t="s">
        <v>592</v>
      </c>
      <c r="B1" s="33"/>
      <c r="C1" s="33"/>
      <c r="D1" s="2"/>
      <c r="E1" s="33"/>
      <c r="F1" s="15"/>
    </row>
    <row x14ac:dyDescent="0.25" r="2" customHeight="1" ht="18.75">
      <c r="A2" s="16" t="s">
        <v>593</v>
      </c>
      <c r="B2" s="33"/>
      <c r="C2" s="33"/>
      <c r="D2" s="2"/>
      <c r="E2" s="33"/>
      <c r="F2" s="15"/>
    </row>
    <row x14ac:dyDescent="0.25" r="3" customHeight="1" ht="18.75">
      <c r="A3" s="3"/>
      <c r="B3" s="33"/>
      <c r="C3" s="33"/>
      <c r="D3" s="2"/>
      <c r="E3" s="33"/>
      <c r="F3" s="15"/>
    </row>
    <row x14ac:dyDescent="0.25" r="4" customHeight="1" ht="18.75">
      <c r="A4" s="4" t="s">
        <v>557</v>
      </c>
      <c r="B4" s="34" t="s">
        <v>558</v>
      </c>
      <c r="C4" s="34" t="s">
        <v>594</v>
      </c>
      <c r="D4" s="5" t="s">
        <v>19</v>
      </c>
      <c r="E4" s="34" t="s">
        <v>595</v>
      </c>
      <c r="F4" s="4" t="s">
        <v>596</v>
      </c>
    </row>
    <row x14ac:dyDescent="0.25" r="5" customHeight="1" ht="18.75">
      <c r="A5" s="35">
        <f>&amp;apos;Produtos e Cupons&amp;apos;!A2</f>
      </c>
      <c r="B5" s="36">
        <f>&amp;apos;Produtos e Cupons&amp;apos;!B2</f>
      </c>
      <c r="C5" s="37">
        <f>&amp;apos;Produtos e Cupons&amp;apos;!C2</f>
      </c>
      <c r="D5" s="38">
        <v>0</v>
      </c>
      <c r="E5" s="37">
        <f>ROUND(C5*D5,2)</f>
      </c>
      <c r="F5" s="35">
        <f>IF(D5&gt;&amp;apos;Produtos e Cupons&amp;apos;!$C$15,"EXCEDE (422)","ok")</f>
      </c>
    </row>
    <row x14ac:dyDescent="0.25" r="6" customHeight="1" ht="18.75">
      <c r="A6" s="35">
        <f>&amp;apos;Produtos e Cupons&amp;apos;!A3</f>
      </c>
      <c r="B6" s="36">
        <f>&amp;apos;Produtos e Cupons&amp;apos;!B3</f>
      </c>
      <c r="C6" s="37">
        <f>&amp;apos;Produtos e Cupons&amp;apos;!C3</f>
      </c>
      <c r="D6" s="38">
        <v>0</v>
      </c>
      <c r="E6" s="37">
        <f>ROUND(C6*D6,2)</f>
      </c>
      <c r="F6" s="35">
        <f>IF(D6&gt;&amp;apos;Produtos e Cupons&amp;apos;!$C$15,"EXCEDE (422)","ok")</f>
      </c>
    </row>
    <row x14ac:dyDescent="0.25" r="7" customHeight="1" ht="18.75">
      <c r="A7" s="35">
        <f>&amp;apos;Produtos e Cupons&amp;apos;!A4</f>
      </c>
      <c r="B7" s="36">
        <f>&amp;apos;Produtos e Cupons&amp;apos;!B4</f>
      </c>
      <c r="C7" s="37">
        <f>&amp;apos;Produtos e Cupons&amp;apos;!C4</f>
      </c>
      <c r="D7" s="38">
        <v>0</v>
      </c>
      <c r="E7" s="37">
        <f>ROUND(C7*D7,2)</f>
      </c>
      <c r="F7" s="35">
        <f>IF(D7&gt;&amp;apos;Produtos e Cupons&amp;apos;!$C$15,"EXCEDE (422)","ok")</f>
      </c>
    </row>
    <row x14ac:dyDescent="0.25" r="8" customHeight="1" ht="18.75">
      <c r="A8" s="35">
        <f>&amp;apos;Produtos e Cupons&amp;apos;!A5</f>
      </c>
      <c r="B8" s="36">
        <f>&amp;apos;Produtos e Cupons&amp;apos;!B5</f>
      </c>
      <c r="C8" s="37">
        <f>&amp;apos;Produtos e Cupons&amp;apos;!C5</f>
      </c>
      <c r="D8" s="38">
        <v>0</v>
      </c>
      <c r="E8" s="37">
        <f>ROUND(C8*D8,2)</f>
      </c>
      <c r="F8" s="35">
        <f>IF(D8&gt;&amp;apos;Produtos e Cupons&amp;apos;!$C$15,"EXCEDE (422)","ok")</f>
      </c>
    </row>
    <row x14ac:dyDescent="0.25" r="9" customHeight="1" ht="18.75">
      <c r="A9" s="35">
        <f>&amp;apos;Produtos e Cupons&amp;apos;!A6</f>
      </c>
      <c r="B9" s="36">
        <f>&amp;apos;Produtos e Cupons&amp;apos;!B6</f>
      </c>
      <c r="C9" s="37">
        <f>&amp;apos;Produtos e Cupons&amp;apos;!C6</f>
      </c>
      <c r="D9" s="38">
        <v>0</v>
      </c>
      <c r="E9" s="37">
        <f>ROUND(C9*D9,2)</f>
      </c>
      <c r="F9" s="35">
        <f>IF(D9&gt;&amp;apos;Produtos e Cupons&amp;apos;!$C$15,"EXCEDE (422)","ok")</f>
      </c>
    </row>
    <row x14ac:dyDescent="0.25" r="10" customHeight="1" ht="18.75">
      <c r="A10" s="35">
        <f>&amp;apos;Produtos e Cupons&amp;apos;!A7</f>
      </c>
      <c r="B10" s="36">
        <f>&amp;apos;Produtos e Cupons&amp;apos;!B7</f>
      </c>
      <c r="C10" s="37">
        <f>&amp;apos;Produtos e Cupons&amp;apos;!C7</f>
      </c>
      <c r="D10" s="38">
        <v>0</v>
      </c>
      <c r="E10" s="37">
        <f>ROUND(C10*D10,2)</f>
      </c>
      <c r="F10" s="35">
        <f>IF(D10&gt;&amp;apos;Produtos e Cupons&amp;apos;!$C$15,"EXCEDE (422)","ok")</f>
      </c>
    </row>
    <row x14ac:dyDescent="0.25" r="11" customHeight="1" ht="18.75">
      <c r="A11" s="35">
        <f>&amp;apos;Produtos e Cupons&amp;apos;!A8</f>
      </c>
      <c r="B11" s="36">
        <f>&amp;apos;Produtos e Cupons&amp;apos;!B8</f>
      </c>
      <c r="C11" s="37">
        <f>&amp;apos;Produtos e Cupons&amp;apos;!C8</f>
      </c>
      <c r="D11" s="38">
        <v>0</v>
      </c>
      <c r="E11" s="37">
        <f>ROUND(C11*D11,2)</f>
      </c>
      <c r="F11" s="35">
        <f>IF(D11&gt;&amp;apos;Produtos e Cupons&amp;apos;!$C$15,"EXCEDE (422)","ok")</f>
      </c>
    </row>
    <row x14ac:dyDescent="0.25" r="12" customHeight="1" ht="18.75">
      <c r="A12" s="35">
        <f>&amp;apos;Produtos e Cupons&amp;apos;!A9</f>
      </c>
      <c r="B12" s="36">
        <f>&amp;apos;Produtos e Cupons&amp;apos;!B9</f>
      </c>
      <c r="C12" s="37">
        <f>&amp;apos;Produtos e Cupons&amp;apos;!C9</f>
      </c>
      <c r="D12" s="38">
        <v>0</v>
      </c>
      <c r="E12" s="37">
        <f>ROUND(C12*D12,2)</f>
      </c>
      <c r="F12" s="35">
        <f>IF(D12&gt;&amp;apos;Produtos e Cupons&amp;apos;!$C$15,"EXCEDE (422)","ok")</f>
      </c>
    </row>
    <row x14ac:dyDescent="0.25" r="13" customHeight="1" ht="18.75">
      <c r="A13" s="3"/>
      <c r="B13" s="33"/>
      <c r="C13" s="33"/>
      <c r="D13" s="2"/>
      <c r="E13" s="33"/>
      <c r="F13" s="15"/>
    </row>
    <row x14ac:dyDescent="0.25" r="14" customHeight="1" ht="18.75">
      <c r="A14" s="28" t="s">
        <v>560</v>
      </c>
      <c r="B14" s="39" t="s">
        <v>573</v>
      </c>
      <c r="C14" s="33"/>
      <c r="D14" s="2"/>
      <c r="E14" s="33"/>
      <c r="F14" s="15"/>
    </row>
    <row x14ac:dyDescent="0.25" r="15" customHeight="1" ht="18.75">
      <c r="A15" s="3"/>
      <c r="B15" s="33"/>
      <c r="C15" s="33"/>
      <c r="D15" s="2"/>
      <c r="E15" s="33"/>
      <c r="F15" s="15"/>
    </row>
    <row x14ac:dyDescent="0.25" r="16" customHeight="1" ht="18.75">
      <c r="A16" s="28" t="s">
        <v>597</v>
      </c>
      <c r="B16" s="40">
        <f>IF(B14="BEMVINDO10",&amp;apos;Produtos e Cupons&amp;apos;!F2,0)</f>
      </c>
      <c r="C16" s="33"/>
      <c r="D16" s="2"/>
      <c r="E16" s="33"/>
      <c r="F16" s="15"/>
    </row>
    <row x14ac:dyDescent="0.25" r="17" customHeight="1" ht="18.75">
      <c r="A17" s="28" t="s">
        <v>598</v>
      </c>
      <c r="B17" s="41">
        <f>IF(B14="BEMVINDO10","Aplicado",IF(B14="VERAO2026","Cupom expirado.",IF(B14="NAOEXISTE","Cupom inválido.","Sem cupom")))</f>
      </c>
      <c r="C17" s="33"/>
      <c r="D17" s="2"/>
      <c r="E17" s="33"/>
      <c r="F17" s="15"/>
    </row>
    <row x14ac:dyDescent="0.25" r="18" customHeight="1" ht="18.75">
      <c r="A18" s="28" t="s">
        <v>599</v>
      </c>
      <c r="B18" s="42">
        <f>ROUND(SUM(E5:E12),2)</f>
      </c>
      <c r="C18" s="33"/>
      <c r="D18" s="2"/>
      <c r="E18" s="33"/>
      <c r="F18" s="15"/>
    </row>
    <row x14ac:dyDescent="0.25" r="19" customHeight="1" ht="18.75">
      <c r="A19" s="28" t="s">
        <v>600</v>
      </c>
      <c r="B19" s="42">
        <f>ROUND(B18*B16,2)</f>
      </c>
      <c r="C19" s="33"/>
      <c r="D19" s="2"/>
      <c r="E19" s="33"/>
      <c r="F19" s="15"/>
    </row>
    <row x14ac:dyDescent="0.25" r="20" customHeight="1" ht="18.75">
      <c r="A20" s="28" t="s">
        <v>601</v>
      </c>
      <c r="B20" s="42">
        <f>IF(B18=0,0,IF(B18&gt;=&amp;apos;Produtos e Cupons&amp;apos;!C13,0,&amp;apos;Produtos e Cupons&amp;apos;!C14))</f>
      </c>
      <c r="C20" s="33"/>
      <c r="D20" s="2"/>
      <c r="E20" s="33"/>
      <c r="F20" s="15"/>
    </row>
    <row x14ac:dyDescent="0.25" r="21" customHeight="1" ht="18.75">
      <c r="A21" s="28" t="s">
        <v>602</v>
      </c>
      <c r="B21" s="42">
        <f>IF(B18=0,0,ROUND(MAX(0,&amp;apos;Produtos e Cupons&amp;apos;!C13-B18),2))</f>
      </c>
      <c r="C21" s="33"/>
      <c r="D21" s="2"/>
      <c r="E21" s="33"/>
      <c r="F21" s="15"/>
    </row>
    <row x14ac:dyDescent="0.25" r="22" customHeight="1" ht="18.75">
      <c r="A22" s="43" t="s">
        <v>603</v>
      </c>
      <c r="B22" s="44">
        <f>ROUND(B18-B19+B20,2)</f>
      </c>
      <c r="C22" s="33"/>
      <c r="D22" s="2"/>
      <c r="E22" s="33"/>
      <c r="F22" s="15"/>
    </row>
    <row x14ac:dyDescent="0.25" r="23" customHeight="1" ht="18.75">
      <c r="A23" s="3"/>
      <c r="B23" s="33"/>
      <c r="C23" s="33"/>
      <c r="D23" s="2"/>
      <c r="E23" s="33"/>
      <c r="F23" s="15"/>
    </row>
    <row x14ac:dyDescent="0.25" r="24" customHeight="1" ht="18.75">
      <c r="A24" s="16" t="s">
        <v>604</v>
      </c>
      <c r="B24" s="33"/>
      <c r="C24" s="33"/>
      <c r="D24" s="2"/>
      <c r="E24" s="33"/>
      <c r="F24" s="15"/>
    </row>
    <row x14ac:dyDescent="0.25" r="25" customHeight="1" ht="18.75">
      <c r="A25" s="16" t="s">
        <v>605</v>
      </c>
      <c r="B25" s="33"/>
      <c r="C25" s="33"/>
      <c r="D25" s="2"/>
      <c r="E25" s="33"/>
      <c r="F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/>
  </sheetViews>
  <sheetFormatPr defaultRowHeight="15" x14ac:dyDescent="0.25"/>
  <cols>
    <col min="1" max="1" style="11" width="10.005" customWidth="1" bestFit="1"/>
    <col min="2" max="2" style="17" width="30.005" customWidth="1" bestFit="1"/>
    <col min="3" max="3" style="13" width="14.005" customWidth="1" bestFit="1"/>
    <col min="4" max="4" style="17" width="13.576428571428572" customWidth="1" bestFit="1"/>
    <col min="5" max="5" style="17" width="14.005" customWidth="1" bestFit="1"/>
    <col min="6" max="6" style="32" width="12.005" customWidth="1" bestFit="1"/>
    <col min="7" max="7" style="17" width="28.005" customWidth="1" bestFit="1"/>
  </cols>
  <sheetData>
    <row x14ac:dyDescent="0.25" r="1" customHeight="1" ht="18.75">
      <c r="A1" s="4" t="s">
        <v>557</v>
      </c>
      <c r="B1" s="4" t="s">
        <v>558</v>
      </c>
      <c r="C1" s="5" t="s">
        <v>559</v>
      </c>
      <c r="D1" s="15"/>
      <c r="E1" s="23" t="s">
        <v>560</v>
      </c>
      <c r="F1" s="24" t="s">
        <v>561</v>
      </c>
      <c r="G1" s="23" t="s">
        <v>562</v>
      </c>
    </row>
    <row x14ac:dyDescent="0.25" r="2" customHeight="1" ht="18.75">
      <c r="A2" s="6" t="s">
        <v>563</v>
      </c>
      <c r="B2" s="6" t="s">
        <v>564</v>
      </c>
      <c r="C2" s="25">
        <v>59.9</v>
      </c>
      <c r="D2" s="15"/>
      <c r="E2" s="6" t="s">
        <v>565</v>
      </c>
      <c r="F2" s="26">
        <v>0.1</v>
      </c>
      <c r="G2" s="6" t="s">
        <v>566</v>
      </c>
    </row>
    <row x14ac:dyDescent="0.25" r="3" customHeight="1" ht="18.75">
      <c r="A3" s="6" t="s">
        <v>567</v>
      </c>
      <c r="B3" s="6" t="s">
        <v>568</v>
      </c>
      <c r="C3" s="25">
        <v>139.9</v>
      </c>
      <c r="D3" s="15"/>
      <c r="E3" s="6" t="s">
        <v>569</v>
      </c>
      <c r="F3" s="26">
        <v>0.15</v>
      </c>
      <c r="G3" s="6" t="s">
        <v>570</v>
      </c>
    </row>
    <row x14ac:dyDescent="0.25" r="4" customHeight="1" ht="18.75">
      <c r="A4" s="6" t="s">
        <v>571</v>
      </c>
      <c r="B4" s="6" t="s">
        <v>572</v>
      </c>
      <c r="C4" s="25">
        <v>189.9</v>
      </c>
      <c r="D4" s="15"/>
      <c r="E4" s="6" t="s">
        <v>573</v>
      </c>
      <c r="F4" s="26">
        <v>0</v>
      </c>
      <c r="G4" s="6" t="s">
        <v>574</v>
      </c>
    </row>
    <row x14ac:dyDescent="0.25" r="5" customHeight="1" ht="18.75">
      <c r="A5" s="6" t="s">
        <v>575</v>
      </c>
      <c r="B5" s="6" t="s">
        <v>576</v>
      </c>
      <c r="C5" s="25">
        <v>49.9</v>
      </c>
      <c r="D5" s="15"/>
      <c r="E5" s="6" t="s">
        <v>577</v>
      </c>
      <c r="F5" s="26">
        <v>0</v>
      </c>
      <c r="G5" s="6" t="s">
        <v>578</v>
      </c>
    </row>
    <row x14ac:dyDescent="0.25" r="6" customHeight="1" ht="18.75">
      <c r="A6" s="6" t="s">
        <v>579</v>
      </c>
      <c r="B6" s="6" t="s">
        <v>580</v>
      </c>
      <c r="C6" s="25">
        <v>100</v>
      </c>
      <c r="D6" s="15"/>
      <c r="E6" s="15"/>
      <c r="F6" s="27"/>
      <c r="G6" s="15"/>
    </row>
    <row x14ac:dyDescent="0.25" r="7" customHeight="1" ht="18.75">
      <c r="A7" s="6" t="s">
        <v>581</v>
      </c>
      <c r="B7" s="6" t="s">
        <v>582</v>
      </c>
      <c r="C7" s="25">
        <v>29.9</v>
      </c>
      <c r="D7" s="15"/>
      <c r="E7" s="15"/>
      <c r="F7" s="27"/>
      <c r="G7" s="15"/>
    </row>
    <row x14ac:dyDescent="0.25" r="8" customHeight="1" ht="18.75">
      <c r="A8" s="6" t="s">
        <v>583</v>
      </c>
      <c r="B8" s="6" t="s">
        <v>584</v>
      </c>
      <c r="C8" s="25">
        <v>229.9</v>
      </c>
      <c r="D8" s="15"/>
      <c r="E8" s="15"/>
      <c r="F8" s="27"/>
      <c r="G8" s="15"/>
    </row>
    <row x14ac:dyDescent="0.25" r="9" customHeight="1" ht="18.75">
      <c r="A9" s="6" t="s">
        <v>585</v>
      </c>
      <c r="B9" s="6" t="s">
        <v>586</v>
      </c>
      <c r="C9" s="25">
        <v>50</v>
      </c>
      <c r="D9" s="15"/>
      <c r="E9" s="15"/>
      <c r="F9" s="27"/>
      <c r="G9" s="15"/>
    </row>
    <row x14ac:dyDescent="0.25" r="10" customHeight="1" ht="18.75">
      <c r="A10" s="3"/>
      <c r="B10" s="15"/>
      <c r="C10" s="2"/>
      <c r="D10" s="15"/>
      <c r="E10" s="15"/>
      <c r="F10" s="27"/>
      <c r="G10" s="15"/>
    </row>
    <row x14ac:dyDescent="0.25" r="11" customHeight="1" ht="18.75">
      <c r="A11" s="3"/>
      <c r="B11" s="15"/>
      <c r="C11" s="2"/>
      <c r="D11" s="15"/>
      <c r="E11" s="15"/>
      <c r="F11" s="27"/>
      <c r="G11" s="15"/>
    </row>
    <row x14ac:dyDescent="0.25" r="12" customHeight="1" ht="18.75">
      <c r="A12" s="28" t="s">
        <v>587</v>
      </c>
      <c r="B12" s="15"/>
      <c r="C12" s="2"/>
      <c r="D12" s="15"/>
      <c r="E12" s="15"/>
      <c r="F12" s="27"/>
      <c r="G12" s="15"/>
    </row>
    <row x14ac:dyDescent="0.25" r="13" customHeight="1" ht="18.75">
      <c r="A13" s="29" t="s">
        <v>588</v>
      </c>
      <c r="B13" s="15"/>
      <c r="C13" s="30">
        <v>200</v>
      </c>
      <c r="D13" s="15"/>
      <c r="E13" s="15"/>
      <c r="F13" s="27"/>
      <c r="G13" s="15"/>
    </row>
    <row x14ac:dyDescent="0.25" r="14" customHeight="1" ht="18.75">
      <c r="A14" s="29" t="s">
        <v>589</v>
      </c>
      <c r="B14" s="15"/>
      <c r="C14" s="30">
        <v>19.9</v>
      </c>
      <c r="D14" s="15"/>
      <c r="E14" s="15"/>
      <c r="F14" s="27"/>
      <c r="G14" s="15"/>
    </row>
    <row x14ac:dyDescent="0.25" r="15" customHeight="1" ht="18.75">
      <c r="A15" s="29" t="s">
        <v>590</v>
      </c>
      <c r="B15" s="15"/>
      <c r="C15" s="31">
        <v>5</v>
      </c>
      <c r="D15" s="15"/>
      <c r="E15" s="15"/>
      <c r="F15" s="27"/>
      <c r="G15" s="15"/>
    </row>
    <row x14ac:dyDescent="0.25" r="16" customHeight="1" ht="18.75">
      <c r="A16" s="3"/>
      <c r="B16" s="15"/>
      <c r="C16" s="2"/>
      <c r="D16" s="15"/>
      <c r="E16" s="15"/>
      <c r="F16" s="27"/>
      <c r="G16" s="15"/>
    </row>
    <row x14ac:dyDescent="0.25" r="17" customHeight="1" ht="18.75">
      <c r="A17" s="16" t="s">
        <v>591</v>
      </c>
      <c r="B17" s="15"/>
      <c r="C17" s="2"/>
      <c r="D17" s="15"/>
      <c r="E17" s="15"/>
      <c r="F17" s="27"/>
      <c r="G17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9.005" customWidth="1" bestFit="1"/>
    <col min="2" max="2" style="11" width="16.005" customWidth="1" bestFit="1"/>
    <col min="3" max="3" style="11" width="8.005" customWidth="1" bestFit="1"/>
    <col min="4" max="4" style="11" width="32.005" customWidth="1" bestFit="1"/>
    <col min="5" max="5" style="11" width="22.005" customWidth="1" bestFit="1"/>
    <col min="6" max="6" style="11" width="48.005" customWidth="1" bestFit="1"/>
    <col min="7" max="7" style="11" width="46.005" customWidth="1" bestFit="1"/>
    <col min="8" max="8" style="11" width="34.005" customWidth="1" bestFit="1"/>
    <col min="9" max="9" style="11" width="14.005" customWidth="1" bestFit="1"/>
    <col min="10" max="10" style="11" width="10.005" customWidth="1" bestFit="1"/>
    <col min="11" max="11" style="11" width="22.005" customWidth="1" bestFit="1"/>
    <col min="12" max="12" style="22" width="12.005" customWidth="1" bestFit="1"/>
  </cols>
  <sheetData>
    <row x14ac:dyDescent="0.25" r="1" customHeight="1" ht="18.75">
      <c r="A1" s="4" t="s">
        <v>84</v>
      </c>
      <c r="B1" s="4" t="s">
        <v>335</v>
      </c>
      <c r="C1" s="4" t="s">
        <v>336</v>
      </c>
      <c r="D1" s="4" t="s">
        <v>140</v>
      </c>
      <c r="E1" s="4" t="s">
        <v>90</v>
      </c>
      <c r="F1" s="4" t="s">
        <v>337</v>
      </c>
      <c r="G1" s="4" t="s">
        <v>92</v>
      </c>
      <c r="H1" s="4" t="s">
        <v>93</v>
      </c>
      <c r="I1" s="4" t="s">
        <v>1</v>
      </c>
      <c r="J1" s="4" t="s">
        <v>144</v>
      </c>
      <c r="K1" s="4" t="s">
        <v>338</v>
      </c>
      <c r="L1" s="20" t="s">
        <v>145</v>
      </c>
    </row>
    <row x14ac:dyDescent="0.25" r="2" customHeight="1" ht="18.75">
      <c r="A2" s="8" t="s">
        <v>339</v>
      </c>
      <c r="B2" s="6" t="s">
        <v>12</v>
      </c>
      <c r="C2" s="6" t="s">
        <v>80</v>
      </c>
      <c r="D2" s="6" t="s">
        <v>340</v>
      </c>
      <c r="E2" s="6" t="s">
        <v>101</v>
      </c>
      <c r="F2" s="6" t="s">
        <v>341</v>
      </c>
      <c r="G2" s="6" t="s">
        <v>342</v>
      </c>
      <c r="H2" s="14"/>
      <c r="I2" s="14" t="s">
        <v>9</v>
      </c>
      <c r="J2" s="14"/>
      <c r="K2" s="14"/>
      <c r="L2" s="21"/>
    </row>
    <row x14ac:dyDescent="0.25" r="3" customHeight="1" ht="18.75">
      <c r="A3" s="8" t="s">
        <v>343</v>
      </c>
      <c r="B3" s="6" t="s">
        <v>12</v>
      </c>
      <c r="C3" s="6" t="s">
        <v>37</v>
      </c>
      <c r="D3" s="6" t="s">
        <v>344</v>
      </c>
      <c r="E3" s="6" t="s">
        <v>345</v>
      </c>
      <c r="F3" s="6" t="s">
        <v>346</v>
      </c>
      <c r="G3" s="6" t="s">
        <v>347</v>
      </c>
      <c r="H3" s="14" t="s">
        <v>348</v>
      </c>
      <c r="I3" s="14" t="s">
        <v>349</v>
      </c>
      <c r="J3" s="14"/>
      <c r="K3" s="14"/>
      <c r="L3" s="21"/>
    </row>
    <row x14ac:dyDescent="0.25" r="4" customHeight="1" ht="18.75">
      <c r="A4" s="8" t="s">
        <v>350</v>
      </c>
      <c r="B4" s="6" t="s">
        <v>12</v>
      </c>
      <c r="C4" s="6" t="s">
        <v>37</v>
      </c>
      <c r="D4" s="6" t="s">
        <v>351</v>
      </c>
      <c r="E4" s="6" t="s">
        <v>345</v>
      </c>
      <c r="F4" s="6" t="s">
        <v>352</v>
      </c>
      <c r="G4" s="6" t="s">
        <v>347</v>
      </c>
      <c r="H4" s="14" t="s">
        <v>353</v>
      </c>
      <c r="I4" s="14" t="s">
        <v>349</v>
      </c>
      <c r="J4" s="14"/>
      <c r="K4" s="14"/>
      <c r="L4" s="21"/>
    </row>
    <row x14ac:dyDescent="0.25" r="5" customHeight="1" ht="18.75">
      <c r="A5" s="8" t="s">
        <v>354</v>
      </c>
      <c r="B5" s="6" t="s">
        <v>12</v>
      </c>
      <c r="C5" s="6" t="s">
        <v>37</v>
      </c>
      <c r="D5" s="6" t="s">
        <v>355</v>
      </c>
      <c r="E5" s="6" t="s">
        <v>345</v>
      </c>
      <c r="F5" s="6" t="s">
        <v>356</v>
      </c>
      <c r="G5" s="6" t="s">
        <v>347</v>
      </c>
      <c r="H5" s="14" t="s">
        <v>353</v>
      </c>
      <c r="I5" s="14" t="s">
        <v>349</v>
      </c>
      <c r="J5" s="14"/>
      <c r="K5" s="14"/>
      <c r="L5" s="21"/>
    </row>
    <row x14ac:dyDescent="0.25" r="6" customHeight="1" ht="18.75">
      <c r="A6" s="8" t="s">
        <v>357</v>
      </c>
      <c r="B6" s="6" t="s">
        <v>12</v>
      </c>
      <c r="C6" s="6" t="s">
        <v>37</v>
      </c>
      <c r="D6" s="6" t="s">
        <v>358</v>
      </c>
      <c r="E6" s="6" t="s">
        <v>345</v>
      </c>
      <c r="F6" s="6" t="s">
        <v>359</v>
      </c>
      <c r="G6" s="6" t="s">
        <v>347</v>
      </c>
      <c r="H6" s="14" t="s">
        <v>353</v>
      </c>
      <c r="I6" s="14" t="s">
        <v>349</v>
      </c>
      <c r="J6" s="14"/>
      <c r="K6" s="14"/>
      <c r="L6" s="21"/>
    </row>
    <row x14ac:dyDescent="0.25" r="7" customHeight="1" ht="18.75">
      <c r="A7" s="8" t="s">
        <v>40</v>
      </c>
      <c r="B7" s="6" t="s">
        <v>12</v>
      </c>
      <c r="C7" s="6" t="s">
        <v>37</v>
      </c>
      <c r="D7" s="6" t="s">
        <v>360</v>
      </c>
      <c r="E7" s="6" t="s">
        <v>345</v>
      </c>
      <c r="F7" s="6" t="s">
        <v>361</v>
      </c>
      <c r="G7" s="6" t="s">
        <v>362</v>
      </c>
      <c r="H7" s="14" t="s">
        <v>363</v>
      </c>
      <c r="I7" s="14" t="s">
        <v>364</v>
      </c>
      <c r="J7" s="14"/>
      <c r="K7" s="14"/>
      <c r="L7" s="21"/>
    </row>
    <row x14ac:dyDescent="0.25" r="8" customHeight="1" ht="18.75">
      <c r="A8" s="8" t="s">
        <v>365</v>
      </c>
      <c r="B8" s="6" t="s">
        <v>12</v>
      </c>
      <c r="C8" s="6" t="s">
        <v>366</v>
      </c>
      <c r="D8" s="6" t="s">
        <v>208</v>
      </c>
      <c r="E8" s="6" t="s">
        <v>345</v>
      </c>
      <c r="F8" s="6" t="s">
        <v>367</v>
      </c>
      <c r="G8" s="6" t="s">
        <v>368</v>
      </c>
      <c r="H8" s="14" t="s">
        <v>363</v>
      </c>
      <c r="I8" s="14" t="s">
        <v>364</v>
      </c>
      <c r="J8" s="14"/>
      <c r="K8" s="14"/>
      <c r="L8" s="21"/>
    </row>
    <row x14ac:dyDescent="0.25" r="9" customHeight="1" ht="18.75">
      <c r="A9" s="8" t="s">
        <v>369</v>
      </c>
      <c r="B9" s="6" t="s">
        <v>12</v>
      </c>
      <c r="C9" s="6" t="s">
        <v>370</v>
      </c>
      <c r="D9" s="6" t="s">
        <v>212</v>
      </c>
      <c r="E9" s="6" t="s">
        <v>345</v>
      </c>
      <c r="F9" s="6" t="s">
        <v>371</v>
      </c>
      <c r="G9" s="6" t="s">
        <v>372</v>
      </c>
      <c r="H9" s="14" t="s">
        <v>363</v>
      </c>
      <c r="I9" s="14" t="s">
        <v>364</v>
      </c>
      <c r="J9" s="14"/>
      <c r="K9" s="14"/>
      <c r="L9" s="21"/>
    </row>
    <row x14ac:dyDescent="0.25" r="10" customHeight="1" ht="18.75">
      <c r="A10" s="8" t="s">
        <v>59</v>
      </c>
      <c r="B10" s="6" t="s">
        <v>12</v>
      </c>
      <c r="C10" s="6" t="s">
        <v>56</v>
      </c>
      <c r="D10" s="6" t="s">
        <v>373</v>
      </c>
      <c r="E10" s="6" t="s">
        <v>374</v>
      </c>
      <c r="F10" s="6" t="s">
        <v>375</v>
      </c>
      <c r="G10" s="6" t="s">
        <v>376</v>
      </c>
      <c r="H10" s="14"/>
      <c r="I10" s="14" t="s">
        <v>9</v>
      </c>
      <c r="J10" s="14"/>
      <c r="K10" s="14"/>
      <c r="L10" s="21"/>
    </row>
    <row x14ac:dyDescent="0.25" r="11" customHeight="1" ht="18.75">
      <c r="A11" s="8" t="s">
        <v>377</v>
      </c>
      <c r="B11" s="6" t="s">
        <v>12</v>
      </c>
      <c r="C11" s="6" t="s">
        <v>80</v>
      </c>
      <c r="D11" s="6" t="s">
        <v>378</v>
      </c>
      <c r="E11" s="6" t="s">
        <v>379</v>
      </c>
      <c r="F11" s="6" t="s">
        <v>380</v>
      </c>
      <c r="G11" s="6" t="s">
        <v>381</v>
      </c>
      <c r="H11" s="14"/>
      <c r="I11" s="14" t="s">
        <v>9</v>
      </c>
      <c r="J11" s="14"/>
      <c r="K11" s="14"/>
      <c r="L11" s="21"/>
    </row>
    <row x14ac:dyDescent="0.25" r="12" customHeight="1" ht="18.75">
      <c r="A12" s="8" t="s">
        <v>382</v>
      </c>
      <c r="B12" s="6" t="s">
        <v>12</v>
      </c>
      <c r="C12" s="6" t="s">
        <v>366</v>
      </c>
      <c r="D12" s="6" t="s">
        <v>383</v>
      </c>
      <c r="E12" s="6" t="s">
        <v>345</v>
      </c>
      <c r="F12" s="6" t="s">
        <v>384</v>
      </c>
      <c r="G12" s="6" t="s">
        <v>385</v>
      </c>
      <c r="H12" s="14"/>
      <c r="I12" s="14" t="s">
        <v>9</v>
      </c>
      <c r="J12" s="14"/>
      <c r="K12" s="14"/>
      <c r="L12" s="21"/>
    </row>
    <row x14ac:dyDescent="0.25" r="13" customHeight="1" ht="18.75">
      <c r="A13" s="8" t="s">
        <v>82</v>
      </c>
      <c r="B13" s="6" t="s">
        <v>12</v>
      </c>
      <c r="C13" s="6" t="s">
        <v>80</v>
      </c>
      <c r="D13" s="6" t="s">
        <v>386</v>
      </c>
      <c r="E13" s="6" t="s">
        <v>101</v>
      </c>
      <c r="F13" s="6" t="s">
        <v>387</v>
      </c>
      <c r="G13" s="6" t="s">
        <v>388</v>
      </c>
      <c r="H13" s="14"/>
      <c r="I13" s="14" t="s">
        <v>9</v>
      </c>
      <c r="J13" s="14"/>
      <c r="K13" s="14"/>
      <c r="L13" s="21"/>
    </row>
    <row x14ac:dyDescent="0.25" r="14" customHeight="1" ht="18.75">
      <c r="A14" s="8" t="s">
        <v>389</v>
      </c>
      <c r="B14" s="6" t="s">
        <v>12</v>
      </c>
      <c r="C14" s="6" t="s">
        <v>80</v>
      </c>
      <c r="D14" s="6" t="s">
        <v>390</v>
      </c>
      <c r="E14" s="6" t="s">
        <v>391</v>
      </c>
      <c r="F14" s="6" t="s">
        <v>392</v>
      </c>
      <c r="G14" s="6" t="s">
        <v>393</v>
      </c>
      <c r="H14" s="14"/>
      <c r="I14" s="14" t="s">
        <v>9</v>
      </c>
      <c r="J14" s="14"/>
      <c r="K14" s="14"/>
      <c r="L14" s="21"/>
    </row>
    <row x14ac:dyDescent="0.25" r="15" customHeight="1" ht="18.75">
      <c r="A15" s="8" t="s">
        <v>106</v>
      </c>
      <c r="B15" s="6" t="s">
        <v>13</v>
      </c>
      <c r="C15" s="6" t="s">
        <v>99</v>
      </c>
      <c r="D15" s="6" t="s">
        <v>394</v>
      </c>
      <c r="E15" s="6" t="s">
        <v>101</v>
      </c>
      <c r="F15" s="6" t="s">
        <v>395</v>
      </c>
      <c r="G15" s="6" t="s">
        <v>396</v>
      </c>
      <c r="H15" s="14" t="s">
        <v>397</v>
      </c>
      <c r="I15" s="14" t="s">
        <v>6</v>
      </c>
      <c r="J15" s="14" t="s">
        <v>109</v>
      </c>
      <c r="K15" s="14" t="s">
        <v>398</v>
      </c>
      <c r="L15" s="21">
        <v>46244</v>
      </c>
    </row>
    <row x14ac:dyDescent="0.25" r="16" customHeight="1" ht="18.75">
      <c r="A16" s="8" t="s">
        <v>399</v>
      </c>
      <c r="B16" s="6" t="s">
        <v>13</v>
      </c>
      <c r="C16" s="6" t="s">
        <v>99</v>
      </c>
      <c r="D16" s="6" t="s">
        <v>400</v>
      </c>
      <c r="E16" s="6" t="s">
        <v>101</v>
      </c>
      <c r="F16" s="6" t="s">
        <v>401</v>
      </c>
      <c r="G16" s="6" t="s">
        <v>402</v>
      </c>
      <c r="H16" s="14" t="s">
        <v>397</v>
      </c>
      <c r="I16" s="14" t="s">
        <v>6</v>
      </c>
      <c r="J16" s="14" t="s">
        <v>109</v>
      </c>
      <c r="K16" s="14" t="s">
        <v>403</v>
      </c>
      <c r="L16" s="21">
        <v>46244</v>
      </c>
    </row>
    <row x14ac:dyDescent="0.25" r="17" customHeight="1" ht="18.75">
      <c r="A17" s="8" t="s">
        <v>404</v>
      </c>
      <c r="B17" s="6" t="s">
        <v>13</v>
      </c>
      <c r="C17" s="6" t="s">
        <v>61</v>
      </c>
      <c r="D17" s="6" t="s">
        <v>405</v>
      </c>
      <c r="E17" s="6" t="s">
        <v>101</v>
      </c>
      <c r="F17" s="6" t="s">
        <v>406</v>
      </c>
      <c r="G17" s="6" t="s">
        <v>407</v>
      </c>
      <c r="H17" s="14"/>
      <c r="I17" s="14" t="s">
        <v>9</v>
      </c>
      <c r="J17" s="14"/>
      <c r="K17" s="14"/>
      <c r="L17" s="21"/>
    </row>
    <row x14ac:dyDescent="0.25" r="18" customHeight="1" ht="18.75">
      <c r="A18" s="8" t="s">
        <v>408</v>
      </c>
      <c r="B18" s="6" t="s">
        <v>13</v>
      </c>
      <c r="C18" s="6" t="s">
        <v>61</v>
      </c>
      <c r="D18" s="6" t="s">
        <v>409</v>
      </c>
      <c r="E18" s="6" t="s">
        <v>101</v>
      </c>
      <c r="F18" s="6" t="s">
        <v>410</v>
      </c>
      <c r="G18" s="6" t="s">
        <v>411</v>
      </c>
      <c r="H18" s="14"/>
      <c r="I18" s="14" t="s">
        <v>9</v>
      </c>
      <c r="J18" s="14"/>
      <c r="K18" s="14"/>
      <c r="L18" s="21"/>
    </row>
    <row x14ac:dyDescent="0.25" r="19" customHeight="1" ht="18.75">
      <c r="A19" s="8" t="s">
        <v>412</v>
      </c>
      <c r="B19" s="6" t="s">
        <v>13</v>
      </c>
      <c r="C19" s="6" t="s">
        <v>413</v>
      </c>
      <c r="D19" s="6" t="s">
        <v>414</v>
      </c>
      <c r="E19" s="6" t="s">
        <v>101</v>
      </c>
      <c r="F19" s="6" t="s">
        <v>415</v>
      </c>
      <c r="G19" s="6" t="s">
        <v>416</v>
      </c>
      <c r="H19" s="14" t="s">
        <v>417</v>
      </c>
      <c r="I19" s="14" t="s">
        <v>6</v>
      </c>
      <c r="J19" s="14" t="s">
        <v>109</v>
      </c>
      <c r="K19" s="14" t="s">
        <v>418</v>
      </c>
      <c r="L19" s="21">
        <v>46244</v>
      </c>
    </row>
    <row x14ac:dyDescent="0.25" r="20" customHeight="1" ht="18.75">
      <c r="A20" s="8" t="s">
        <v>419</v>
      </c>
      <c r="B20" s="6" t="s">
        <v>13</v>
      </c>
      <c r="C20" s="6" t="s">
        <v>420</v>
      </c>
      <c r="D20" s="6" t="s">
        <v>421</v>
      </c>
      <c r="E20" s="6" t="s">
        <v>101</v>
      </c>
      <c r="F20" s="6" t="s">
        <v>422</v>
      </c>
      <c r="G20" s="6" t="s">
        <v>423</v>
      </c>
      <c r="H20" s="14"/>
      <c r="I20" s="14" t="s">
        <v>9</v>
      </c>
      <c r="J20" s="14"/>
      <c r="K20" s="14"/>
      <c r="L20" s="21"/>
    </row>
    <row x14ac:dyDescent="0.25" r="21" customHeight="1" ht="18.75">
      <c r="A21" s="8" t="s">
        <v>64</v>
      </c>
      <c r="B21" s="6" t="s">
        <v>13</v>
      </c>
      <c r="C21" s="6" t="s">
        <v>99</v>
      </c>
      <c r="D21" s="6" t="s">
        <v>424</v>
      </c>
      <c r="E21" s="6" t="s">
        <v>101</v>
      </c>
      <c r="F21" s="6" t="s">
        <v>425</v>
      </c>
      <c r="G21" s="6" t="s">
        <v>426</v>
      </c>
      <c r="H21" s="14"/>
      <c r="I21" s="14" t="s">
        <v>9</v>
      </c>
      <c r="J21" s="14"/>
      <c r="K21" s="14"/>
      <c r="L21" s="21"/>
    </row>
    <row x14ac:dyDescent="0.25" r="22" customHeight="1" ht="18.75">
      <c r="A22" s="8" t="s">
        <v>427</v>
      </c>
      <c r="B22" s="6" t="s">
        <v>13</v>
      </c>
      <c r="C22" s="6" t="s">
        <v>99</v>
      </c>
      <c r="D22" s="6" t="s">
        <v>428</v>
      </c>
      <c r="E22" s="6" t="s">
        <v>101</v>
      </c>
      <c r="F22" s="6" t="s">
        <v>429</v>
      </c>
      <c r="G22" s="6" t="s">
        <v>430</v>
      </c>
      <c r="H22" s="14"/>
      <c r="I22" s="14" t="s">
        <v>9</v>
      </c>
      <c r="J22" s="14"/>
      <c r="K22" s="14"/>
      <c r="L22" s="21"/>
    </row>
    <row x14ac:dyDescent="0.25" r="23" customHeight="1" ht="18.75">
      <c r="A23" s="8" t="s">
        <v>431</v>
      </c>
      <c r="B23" s="6" t="s">
        <v>13</v>
      </c>
      <c r="C23" s="6" t="s">
        <v>99</v>
      </c>
      <c r="D23" s="6" t="s">
        <v>432</v>
      </c>
      <c r="E23" s="6" t="s">
        <v>101</v>
      </c>
      <c r="F23" s="6" t="s">
        <v>433</v>
      </c>
      <c r="G23" s="6" t="s">
        <v>434</v>
      </c>
      <c r="H23" s="14"/>
      <c r="I23" s="14" t="s">
        <v>9</v>
      </c>
      <c r="J23" s="14"/>
      <c r="K23" s="14"/>
      <c r="L23" s="21"/>
    </row>
    <row x14ac:dyDescent="0.25" r="24" customHeight="1" ht="18.75">
      <c r="A24" s="8" t="s">
        <v>435</v>
      </c>
      <c r="B24" s="6" t="s">
        <v>14</v>
      </c>
      <c r="C24" s="6" t="s">
        <v>42</v>
      </c>
      <c r="D24" s="6" t="s">
        <v>436</v>
      </c>
      <c r="E24" s="6" t="s">
        <v>101</v>
      </c>
      <c r="F24" s="6" t="s">
        <v>437</v>
      </c>
      <c r="G24" s="6" t="s">
        <v>438</v>
      </c>
      <c r="H24" s="14"/>
      <c r="I24" s="14" t="s">
        <v>9</v>
      </c>
      <c r="J24" s="14"/>
      <c r="K24" s="14"/>
      <c r="L24" s="21"/>
    </row>
    <row x14ac:dyDescent="0.25" r="25" customHeight="1" ht="18.75">
      <c r="A25" s="8" t="s">
        <v>439</v>
      </c>
      <c r="B25" s="6" t="s">
        <v>14</v>
      </c>
      <c r="C25" s="6" t="s">
        <v>42</v>
      </c>
      <c r="D25" s="6" t="s">
        <v>440</v>
      </c>
      <c r="E25" s="6" t="s">
        <v>441</v>
      </c>
      <c r="F25" s="6" t="s">
        <v>442</v>
      </c>
      <c r="G25" s="6" t="s">
        <v>443</v>
      </c>
      <c r="H25" s="14"/>
      <c r="I25" s="14" t="s">
        <v>9</v>
      </c>
      <c r="J25" s="14"/>
      <c r="K25" s="14"/>
      <c r="L25" s="21"/>
    </row>
    <row x14ac:dyDescent="0.25" r="26" customHeight="1" ht="18.75">
      <c r="A26" s="8" t="s">
        <v>444</v>
      </c>
      <c r="B26" s="6" t="s">
        <v>14</v>
      </c>
      <c r="C26" s="6" t="s">
        <v>42</v>
      </c>
      <c r="D26" s="6" t="s">
        <v>445</v>
      </c>
      <c r="E26" s="6" t="s">
        <v>446</v>
      </c>
      <c r="F26" s="6" t="s">
        <v>447</v>
      </c>
      <c r="G26" s="6" t="s">
        <v>448</v>
      </c>
      <c r="H26" s="14"/>
      <c r="I26" s="14" t="s">
        <v>9</v>
      </c>
      <c r="J26" s="14"/>
      <c r="K26" s="14"/>
      <c r="L26" s="21"/>
    </row>
    <row x14ac:dyDescent="0.25" r="27" customHeight="1" ht="18.75">
      <c r="A27" s="8" t="s">
        <v>45</v>
      </c>
      <c r="B27" s="6" t="s">
        <v>14</v>
      </c>
      <c r="C27" s="6" t="s">
        <v>42</v>
      </c>
      <c r="D27" s="6" t="s">
        <v>449</v>
      </c>
      <c r="E27" s="6" t="s">
        <v>101</v>
      </c>
      <c r="F27" s="6" t="s">
        <v>450</v>
      </c>
      <c r="G27" s="6" t="s">
        <v>451</v>
      </c>
      <c r="H27" s="14"/>
      <c r="I27" s="14" t="s">
        <v>9</v>
      </c>
      <c r="J27" s="14"/>
      <c r="K27" s="14"/>
      <c r="L27" s="21"/>
    </row>
    <row x14ac:dyDescent="0.25" r="28" customHeight="1" ht="18.75">
      <c r="A28" s="8" t="s">
        <v>452</v>
      </c>
      <c r="B28" s="6" t="s">
        <v>14</v>
      </c>
      <c r="C28" s="6" t="s">
        <v>42</v>
      </c>
      <c r="D28" s="6" t="s">
        <v>453</v>
      </c>
      <c r="E28" s="6" t="s">
        <v>101</v>
      </c>
      <c r="F28" s="6" t="s">
        <v>454</v>
      </c>
      <c r="G28" s="6" t="s">
        <v>455</v>
      </c>
      <c r="H28" s="14"/>
      <c r="I28" s="14" t="s">
        <v>9</v>
      </c>
      <c r="J28" s="14"/>
      <c r="K28" s="14"/>
      <c r="L28" s="21"/>
    </row>
    <row x14ac:dyDescent="0.25" r="29" customHeight="1" ht="18.75">
      <c r="A29" s="8" t="s">
        <v>456</v>
      </c>
      <c r="B29" s="6" t="s">
        <v>14</v>
      </c>
      <c r="C29" s="6" t="s">
        <v>42</v>
      </c>
      <c r="D29" s="6" t="s">
        <v>457</v>
      </c>
      <c r="E29" s="6" t="s">
        <v>458</v>
      </c>
      <c r="F29" s="6" t="s">
        <v>459</v>
      </c>
      <c r="G29" s="6" t="s">
        <v>460</v>
      </c>
      <c r="H29" s="14"/>
      <c r="I29" s="14" t="s">
        <v>9</v>
      </c>
      <c r="J29" s="14"/>
      <c r="K29" s="14"/>
      <c r="L29" s="21"/>
    </row>
    <row x14ac:dyDescent="0.25" r="30" customHeight="1" ht="18.75">
      <c r="A30" s="8" t="s">
        <v>461</v>
      </c>
      <c r="B30" s="6" t="s">
        <v>14</v>
      </c>
      <c r="C30" s="6" t="s">
        <v>324</v>
      </c>
      <c r="D30" s="6" t="s">
        <v>462</v>
      </c>
      <c r="E30" s="6" t="s">
        <v>463</v>
      </c>
      <c r="F30" s="6" t="s">
        <v>464</v>
      </c>
      <c r="G30" s="6" t="s">
        <v>465</v>
      </c>
      <c r="H30" s="14"/>
      <c r="I30" s="14" t="s">
        <v>9</v>
      </c>
      <c r="J30" s="14"/>
      <c r="K30" s="14"/>
      <c r="L30" s="21"/>
    </row>
    <row x14ac:dyDescent="0.25" r="31" customHeight="1" ht="18.75">
      <c r="A31" s="8" t="s">
        <v>466</v>
      </c>
      <c r="B31" s="6" t="s">
        <v>15</v>
      </c>
      <c r="C31" s="6" t="s">
        <v>32</v>
      </c>
      <c r="D31" s="6" t="s">
        <v>467</v>
      </c>
      <c r="E31" s="6" t="s">
        <v>101</v>
      </c>
      <c r="F31" s="6" t="s">
        <v>468</v>
      </c>
      <c r="G31" s="6" t="s">
        <v>469</v>
      </c>
      <c r="H31" s="14"/>
      <c r="I31" s="14" t="s">
        <v>9</v>
      </c>
      <c r="J31" s="14"/>
      <c r="K31" s="14"/>
      <c r="L31" s="21"/>
    </row>
    <row x14ac:dyDescent="0.25" r="32" customHeight="1" ht="18.75">
      <c r="A32" s="8" t="s">
        <v>470</v>
      </c>
      <c r="B32" s="6" t="s">
        <v>15</v>
      </c>
      <c r="C32" s="6" t="s">
        <v>32</v>
      </c>
      <c r="D32" s="6" t="s">
        <v>471</v>
      </c>
      <c r="E32" s="6" t="s">
        <v>101</v>
      </c>
      <c r="F32" s="6" t="s">
        <v>472</v>
      </c>
      <c r="G32" s="6" t="s">
        <v>473</v>
      </c>
      <c r="H32" s="14"/>
      <c r="I32" s="14" t="s">
        <v>9</v>
      </c>
      <c r="J32" s="14"/>
      <c r="K32" s="14"/>
      <c r="L32" s="21"/>
    </row>
    <row x14ac:dyDescent="0.25" r="33" customHeight="1" ht="18.75">
      <c r="A33" s="8" t="s">
        <v>474</v>
      </c>
      <c r="B33" s="6" t="s">
        <v>15</v>
      </c>
      <c r="C33" s="6" t="s">
        <v>32</v>
      </c>
      <c r="D33" s="6" t="s">
        <v>475</v>
      </c>
      <c r="E33" s="6" t="s">
        <v>101</v>
      </c>
      <c r="F33" s="6" t="s">
        <v>476</v>
      </c>
      <c r="G33" s="6" t="s">
        <v>477</v>
      </c>
      <c r="H33" s="14"/>
      <c r="I33" s="14" t="s">
        <v>9</v>
      </c>
      <c r="J33" s="14"/>
      <c r="K33" s="14"/>
      <c r="L33" s="21"/>
    </row>
    <row x14ac:dyDescent="0.25" r="34" customHeight="1" ht="18.75">
      <c r="A34" s="8" t="s">
        <v>478</v>
      </c>
      <c r="B34" s="6" t="s">
        <v>15</v>
      </c>
      <c r="C34" s="6" t="s">
        <v>32</v>
      </c>
      <c r="D34" s="6" t="s">
        <v>479</v>
      </c>
      <c r="E34" s="6" t="s">
        <v>480</v>
      </c>
      <c r="F34" s="6" t="s">
        <v>481</v>
      </c>
      <c r="G34" s="6" t="s">
        <v>482</v>
      </c>
      <c r="H34" s="14"/>
      <c r="I34" s="14" t="s">
        <v>9</v>
      </c>
      <c r="J34" s="14"/>
      <c r="K34" s="14"/>
      <c r="L34" s="21"/>
    </row>
    <row x14ac:dyDescent="0.25" r="35" customHeight="1" ht="18.75">
      <c r="A35" s="8" t="s">
        <v>483</v>
      </c>
      <c r="B35" s="6" t="s">
        <v>15</v>
      </c>
      <c r="C35" s="6" t="s">
        <v>32</v>
      </c>
      <c r="D35" s="6" t="s">
        <v>484</v>
      </c>
      <c r="E35" s="6" t="s">
        <v>101</v>
      </c>
      <c r="F35" s="6" t="s">
        <v>485</v>
      </c>
      <c r="G35" s="6" t="s">
        <v>486</v>
      </c>
      <c r="H35" s="14"/>
      <c r="I35" s="14" t="s">
        <v>9</v>
      </c>
      <c r="J35" s="14"/>
      <c r="K35" s="14"/>
      <c r="L35" s="21"/>
    </row>
    <row x14ac:dyDescent="0.25" r="36" customHeight="1" ht="18.75">
      <c r="A36" s="8" t="s">
        <v>487</v>
      </c>
      <c r="B36" s="6" t="s">
        <v>16</v>
      </c>
      <c r="C36" s="6" t="s">
        <v>324</v>
      </c>
      <c r="D36" s="6" t="s">
        <v>488</v>
      </c>
      <c r="E36" s="6" t="s">
        <v>345</v>
      </c>
      <c r="F36" s="6" t="s">
        <v>489</v>
      </c>
      <c r="G36" s="6" t="s">
        <v>490</v>
      </c>
      <c r="H36" s="14"/>
      <c r="I36" s="14" t="s">
        <v>9</v>
      </c>
      <c r="J36" s="14"/>
      <c r="K36" s="14"/>
      <c r="L36" s="21"/>
    </row>
    <row x14ac:dyDescent="0.25" r="37" customHeight="1" ht="18.75">
      <c r="A37" s="8" t="s">
        <v>491</v>
      </c>
      <c r="B37" s="6" t="s">
        <v>16</v>
      </c>
      <c r="C37" s="6" t="s">
        <v>80</v>
      </c>
      <c r="D37" s="6" t="s">
        <v>492</v>
      </c>
      <c r="E37" s="6" t="s">
        <v>493</v>
      </c>
      <c r="F37" s="6" t="s">
        <v>494</v>
      </c>
      <c r="G37" s="6" t="s">
        <v>495</v>
      </c>
      <c r="H37" s="14"/>
      <c r="I37" s="14" t="s">
        <v>9</v>
      </c>
      <c r="J37" s="14"/>
      <c r="K37" s="14"/>
      <c r="L37" s="21"/>
    </row>
    <row x14ac:dyDescent="0.25" r="38" customHeight="1" ht="18.75">
      <c r="A38" s="8" t="s">
        <v>496</v>
      </c>
      <c r="B38" s="6" t="s">
        <v>16</v>
      </c>
      <c r="C38" s="6" t="s">
        <v>324</v>
      </c>
      <c r="D38" s="6" t="s">
        <v>290</v>
      </c>
      <c r="E38" s="6" t="s">
        <v>497</v>
      </c>
      <c r="F38" s="6" t="s">
        <v>498</v>
      </c>
      <c r="G38" s="6" t="s">
        <v>499</v>
      </c>
      <c r="H38" s="14"/>
      <c r="I38" s="14" t="s">
        <v>9</v>
      </c>
      <c r="J38" s="14"/>
      <c r="K38" s="14"/>
      <c r="L38" s="21"/>
    </row>
    <row x14ac:dyDescent="0.25" r="39" customHeight="1" ht="18.75">
      <c r="A39" s="8" t="s">
        <v>500</v>
      </c>
      <c r="B39" s="6" t="s">
        <v>16</v>
      </c>
      <c r="C39" s="6" t="s">
        <v>324</v>
      </c>
      <c r="D39" s="6" t="s">
        <v>501</v>
      </c>
      <c r="E39" s="6" t="s">
        <v>497</v>
      </c>
      <c r="F39" s="6" t="s">
        <v>502</v>
      </c>
      <c r="G39" s="6" t="s">
        <v>503</v>
      </c>
      <c r="H39" s="14"/>
      <c r="I39" s="14" t="s">
        <v>9</v>
      </c>
      <c r="J39" s="14"/>
      <c r="K39" s="14"/>
      <c r="L39" s="21"/>
    </row>
    <row x14ac:dyDescent="0.25" r="40" customHeight="1" ht="18.75">
      <c r="A40" s="8" t="s">
        <v>69</v>
      </c>
      <c r="B40" s="6" t="s">
        <v>16</v>
      </c>
      <c r="C40" s="6" t="s">
        <v>324</v>
      </c>
      <c r="D40" s="6" t="s">
        <v>504</v>
      </c>
      <c r="E40" s="6" t="s">
        <v>497</v>
      </c>
      <c r="F40" s="6" t="s">
        <v>505</v>
      </c>
      <c r="G40" s="6" t="s">
        <v>506</v>
      </c>
      <c r="H40" s="14"/>
      <c r="I40" s="14" t="s">
        <v>9</v>
      </c>
      <c r="J40" s="14"/>
      <c r="K40" s="14"/>
      <c r="L40" s="21"/>
    </row>
    <row x14ac:dyDescent="0.25" r="41" customHeight="1" ht="18.75">
      <c r="A41" s="8" t="s">
        <v>507</v>
      </c>
      <c r="B41" s="6" t="s">
        <v>16</v>
      </c>
      <c r="C41" s="6" t="s">
        <v>324</v>
      </c>
      <c r="D41" s="6" t="s">
        <v>294</v>
      </c>
      <c r="E41" s="6" t="s">
        <v>497</v>
      </c>
      <c r="F41" s="6" t="s">
        <v>508</v>
      </c>
      <c r="G41" s="6" t="s">
        <v>509</v>
      </c>
      <c r="H41" s="14"/>
      <c r="I41" s="14" t="s">
        <v>9</v>
      </c>
      <c r="J41" s="14"/>
      <c r="K41" s="14"/>
      <c r="L41" s="21"/>
    </row>
    <row x14ac:dyDescent="0.25" r="42" customHeight="1" ht="18.75">
      <c r="A42" s="8" t="s">
        <v>510</v>
      </c>
      <c r="B42" s="6" t="s">
        <v>16</v>
      </c>
      <c r="C42" s="6" t="s">
        <v>324</v>
      </c>
      <c r="D42" s="6" t="s">
        <v>511</v>
      </c>
      <c r="E42" s="6" t="s">
        <v>497</v>
      </c>
      <c r="F42" s="6" t="s">
        <v>512</v>
      </c>
      <c r="G42" s="6" t="s">
        <v>513</v>
      </c>
      <c r="H42" s="14"/>
      <c r="I42" s="14" t="s">
        <v>9</v>
      </c>
      <c r="J42" s="14"/>
      <c r="K42" s="14"/>
      <c r="L42" s="21"/>
    </row>
    <row x14ac:dyDescent="0.25" r="43" customHeight="1" ht="18.75">
      <c r="A43" s="8" t="s">
        <v>514</v>
      </c>
      <c r="B43" s="6" t="s">
        <v>16</v>
      </c>
      <c r="C43" s="6" t="s">
        <v>324</v>
      </c>
      <c r="D43" s="6" t="s">
        <v>301</v>
      </c>
      <c r="E43" s="6" t="s">
        <v>497</v>
      </c>
      <c r="F43" s="6" t="s">
        <v>302</v>
      </c>
      <c r="G43" s="6" t="s">
        <v>513</v>
      </c>
      <c r="H43" s="14"/>
      <c r="I43" s="14" t="s">
        <v>9</v>
      </c>
      <c r="J43" s="14"/>
      <c r="K43" s="14"/>
      <c r="L43" s="21"/>
    </row>
    <row x14ac:dyDescent="0.25" r="44" customHeight="1" ht="18.75">
      <c r="A44" s="8" t="s">
        <v>515</v>
      </c>
      <c r="B44" s="6" t="s">
        <v>16</v>
      </c>
      <c r="C44" s="6" t="s">
        <v>324</v>
      </c>
      <c r="D44" s="6" t="s">
        <v>516</v>
      </c>
      <c r="E44" s="6" t="s">
        <v>497</v>
      </c>
      <c r="F44" s="6" t="s">
        <v>517</v>
      </c>
      <c r="G44" s="6" t="s">
        <v>509</v>
      </c>
      <c r="H44" s="14"/>
      <c r="I44" s="14" t="s">
        <v>9</v>
      </c>
      <c r="J44" s="14"/>
      <c r="K44" s="14"/>
      <c r="L44" s="21"/>
    </row>
    <row x14ac:dyDescent="0.25" r="45" customHeight="1" ht="18.75">
      <c r="A45" s="8" t="s">
        <v>518</v>
      </c>
      <c r="B45" s="6" t="s">
        <v>16</v>
      </c>
      <c r="C45" s="6" t="s">
        <v>324</v>
      </c>
      <c r="D45" s="6" t="s">
        <v>519</v>
      </c>
      <c r="E45" s="6" t="s">
        <v>497</v>
      </c>
      <c r="F45" s="6" t="s">
        <v>520</v>
      </c>
      <c r="G45" s="6" t="s">
        <v>521</v>
      </c>
      <c r="H45" s="14"/>
      <c r="I45" s="14" t="s">
        <v>9</v>
      </c>
      <c r="J45" s="14"/>
      <c r="K45" s="14"/>
      <c r="L45" s="21"/>
    </row>
    <row x14ac:dyDescent="0.25" r="46" customHeight="1" ht="18.75">
      <c r="A46" s="8" t="s">
        <v>522</v>
      </c>
      <c r="B46" s="6" t="s">
        <v>16</v>
      </c>
      <c r="C46" s="6" t="s">
        <v>324</v>
      </c>
      <c r="D46" s="6" t="s">
        <v>523</v>
      </c>
      <c r="E46" s="6" t="s">
        <v>497</v>
      </c>
      <c r="F46" s="6" t="s">
        <v>524</v>
      </c>
      <c r="G46" s="6" t="s">
        <v>525</v>
      </c>
      <c r="H46" s="14"/>
      <c r="I46" s="14" t="s">
        <v>9</v>
      </c>
      <c r="J46" s="14"/>
      <c r="K46" s="14"/>
      <c r="L46" s="21"/>
    </row>
    <row x14ac:dyDescent="0.25" r="47" customHeight="1" ht="18.75">
      <c r="A47" s="8" t="s">
        <v>526</v>
      </c>
      <c r="B47" s="6" t="s">
        <v>16</v>
      </c>
      <c r="C47" s="6" t="s">
        <v>324</v>
      </c>
      <c r="D47" s="6" t="s">
        <v>527</v>
      </c>
      <c r="E47" s="6" t="s">
        <v>528</v>
      </c>
      <c r="F47" s="6" t="s">
        <v>529</v>
      </c>
      <c r="G47" s="6" t="s">
        <v>530</v>
      </c>
      <c r="H47" s="14"/>
      <c r="I47" s="14" t="s">
        <v>9</v>
      </c>
      <c r="J47" s="14"/>
      <c r="K47" s="14"/>
      <c r="L47" s="21"/>
    </row>
    <row x14ac:dyDescent="0.25" r="48" customHeight="1" ht="18.75">
      <c r="A48" s="8" t="s">
        <v>531</v>
      </c>
      <c r="B48" s="6" t="s">
        <v>17</v>
      </c>
      <c r="C48" s="6" t="s">
        <v>324</v>
      </c>
      <c r="D48" s="6" t="s">
        <v>532</v>
      </c>
      <c r="E48" s="6" t="s">
        <v>533</v>
      </c>
      <c r="F48" s="6" t="s">
        <v>534</v>
      </c>
      <c r="G48" s="6" t="s">
        <v>535</v>
      </c>
      <c r="H48" s="14"/>
      <c r="I48" s="14" t="s">
        <v>9</v>
      </c>
      <c r="J48" s="14"/>
      <c r="K48" s="14"/>
      <c r="L48" s="21"/>
    </row>
    <row x14ac:dyDescent="0.25" r="49" customHeight="1" ht="18.75">
      <c r="A49" s="8" t="s">
        <v>536</v>
      </c>
      <c r="B49" s="6" t="s">
        <v>17</v>
      </c>
      <c r="C49" s="6" t="s">
        <v>324</v>
      </c>
      <c r="D49" s="6" t="s">
        <v>537</v>
      </c>
      <c r="E49" s="6" t="s">
        <v>538</v>
      </c>
      <c r="F49" s="6" t="s">
        <v>539</v>
      </c>
      <c r="G49" s="6" t="s">
        <v>540</v>
      </c>
      <c r="H49" s="14"/>
      <c r="I49" s="14" t="s">
        <v>9</v>
      </c>
      <c r="J49" s="14"/>
      <c r="K49" s="14"/>
      <c r="L49" s="21"/>
    </row>
    <row x14ac:dyDescent="0.25" r="50" customHeight="1" ht="18.75">
      <c r="A50" s="8" t="s">
        <v>541</v>
      </c>
      <c r="B50" s="6" t="s">
        <v>17</v>
      </c>
      <c r="C50" s="6" t="s">
        <v>324</v>
      </c>
      <c r="D50" s="6" t="s">
        <v>542</v>
      </c>
      <c r="E50" s="6" t="s">
        <v>543</v>
      </c>
      <c r="F50" s="6" t="s">
        <v>544</v>
      </c>
      <c r="G50" s="6" t="s">
        <v>545</v>
      </c>
      <c r="H50" s="14"/>
      <c r="I50" s="14" t="s">
        <v>9</v>
      </c>
      <c r="J50" s="14"/>
      <c r="K50" s="14"/>
      <c r="L50" s="21"/>
    </row>
    <row x14ac:dyDescent="0.25" r="51" customHeight="1" ht="18.75">
      <c r="A51" s="8" t="s">
        <v>546</v>
      </c>
      <c r="B51" s="6" t="s">
        <v>17</v>
      </c>
      <c r="C51" s="6" t="s">
        <v>324</v>
      </c>
      <c r="D51" s="6" t="s">
        <v>547</v>
      </c>
      <c r="E51" s="6" t="s">
        <v>548</v>
      </c>
      <c r="F51" s="6" t="s">
        <v>549</v>
      </c>
      <c r="G51" s="6" t="s">
        <v>550</v>
      </c>
      <c r="H51" s="14"/>
      <c r="I51" s="14" t="s">
        <v>9</v>
      </c>
      <c r="J51" s="14"/>
      <c r="K51" s="14"/>
      <c r="L51" s="21"/>
    </row>
    <row x14ac:dyDescent="0.25" r="52" customHeight="1" ht="18.75">
      <c r="A52" s="8" t="s">
        <v>551</v>
      </c>
      <c r="B52" s="6" t="s">
        <v>17</v>
      </c>
      <c r="C52" s="6" t="s">
        <v>324</v>
      </c>
      <c r="D52" s="6" t="s">
        <v>552</v>
      </c>
      <c r="E52" s="6" t="s">
        <v>548</v>
      </c>
      <c r="F52" s="6" t="s">
        <v>553</v>
      </c>
      <c r="G52" s="6" t="s">
        <v>554</v>
      </c>
      <c r="H52" s="14"/>
      <c r="I52" s="14" t="s">
        <v>9</v>
      </c>
      <c r="J52" s="14"/>
      <c r="K52" s="14"/>
      <c r="L52" s="21"/>
    </row>
    <row x14ac:dyDescent="0.25" r="53" customHeight="1" ht="18.75">
      <c r="A53" s="8" t="s">
        <v>78</v>
      </c>
      <c r="B53" s="6" t="s">
        <v>17</v>
      </c>
      <c r="C53" s="6" t="s">
        <v>324</v>
      </c>
      <c r="D53" s="6" t="s">
        <v>101</v>
      </c>
      <c r="E53" s="6" t="s">
        <v>101</v>
      </c>
      <c r="F53" s="6" t="s">
        <v>555</v>
      </c>
      <c r="G53" s="6" t="s">
        <v>556</v>
      </c>
      <c r="H53" s="14"/>
      <c r="I53" s="14" t="s">
        <v>9</v>
      </c>
      <c r="J53" s="14"/>
      <c r="K53" s="14"/>
      <c r="L53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9.005" customWidth="1" bestFit="1"/>
    <col min="2" max="2" style="17" width="26.005" customWidth="1" bestFit="1"/>
    <col min="3" max="3" style="17" width="34.005" customWidth="1" bestFit="1"/>
    <col min="4" max="4" style="17" width="48.005" customWidth="1" bestFit="1"/>
    <col min="5" max="5" style="13" width="12.005" customWidth="1" bestFit="1"/>
    <col min="6" max="6" style="17" width="44.005" customWidth="1" bestFit="1"/>
    <col min="7" max="7" style="17" width="34.005" customWidth="1" bestFit="1"/>
    <col min="8" max="8" style="17" width="14.005" customWidth="1" bestFit="1"/>
    <col min="9" max="9" style="17" width="10.005" customWidth="1" bestFit="1"/>
    <col min="10" max="10" style="17" width="22.005" customWidth="1" bestFit="1"/>
    <col min="11" max="11" style="17" width="12.005" customWidth="1" bestFit="1"/>
  </cols>
  <sheetData>
    <row x14ac:dyDescent="0.25" r="1" customHeight="1" ht="18.75">
      <c r="A1" s="4" t="s">
        <v>84</v>
      </c>
      <c r="B1" s="4" t="s">
        <v>139</v>
      </c>
      <c r="C1" s="4" t="s">
        <v>140</v>
      </c>
      <c r="D1" s="4" t="s">
        <v>141</v>
      </c>
      <c r="E1" s="5" t="s">
        <v>142</v>
      </c>
      <c r="F1" s="4" t="s">
        <v>143</v>
      </c>
      <c r="G1" s="4" t="s">
        <v>93</v>
      </c>
      <c r="H1" s="4" t="s">
        <v>1</v>
      </c>
      <c r="I1" s="4" t="s">
        <v>144</v>
      </c>
      <c r="J1" s="4" t="s">
        <v>94</v>
      </c>
      <c r="K1" s="4" t="s">
        <v>145</v>
      </c>
    </row>
    <row x14ac:dyDescent="0.25" r="2" customHeight="1" ht="18.75">
      <c r="A2" s="8" t="s">
        <v>146</v>
      </c>
      <c r="B2" s="6" t="s">
        <v>147</v>
      </c>
      <c r="C2" s="6" t="s">
        <v>148</v>
      </c>
      <c r="D2" s="6" t="s">
        <v>149</v>
      </c>
      <c r="E2" s="7">
        <v>200</v>
      </c>
      <c r="F2" s="6" t="s">
        <v>150</v>
      </c>
      <c r="G2" s="14"/>
      <c r="H2" s="14" t="s">
        <v>9</v>
      </c>
      <c r="I2" s="14"/>
      <c r="J2" s="14"/>
      <c r="K2" s="14"/>
    </row>
    <row x14ac:dyDescent="0.25" r="3" customHeight="1" ht="18.75">
      <c r="A3" s="8" t="s">
        <v>151</v>
      </c>
      <c r="B3" s="6" t="s">
        <v>152</v>
      </c>
      <c r="C3" s="6" t="s">
        <v>153</v>
      </c>
      <c r="D3" s="6" t="s">
        <v>154</v>
      </c>
      <c r="E3" s="7">
        <v>200</v>
      </c>
      <c r="F3" s="6" t="s">
        <v>155</v>
      </c>
      <c r="G3" s="14"/>
      <c r="H3" s="14" t="s">
        <v>9</v>
      </c>
      <c r="I3" s="14"/>
      <c r="J3" s="14"/>
      <c r="K3" s="14"/>
    </row>
    <row x14ac:dyDescent="0.25" r="4" customHeight="1" ht="18.75">
      <c r="A4" s="8" t="s">
        <v>156</v>
      </c>
      <c r="B4" s="6" t="s">
        <v>152</v>
      </c>
      <c r="C4" s="6" t="s">
        <v>157</v>
      </c>
      <c r="D4" s="6" t="s">
        <v>158</v>
      </c>
      <c r="E4" s="7">
        <v>404</v>
      </c>
      <c r="F4" s="6" t="s">
        <v>159</v>
      </c>
      <c r="G4" s="14"/>
      <c r="H4" s="14" t="s">
        <v>9</v>
      </c>
      <c r="I4" s="14"/>
      <c r="J4" s="14"/>
      <c r="K4" s="14"/>
    </row>
    <row x14ac:dyDescent="0.25" r="5" customHeight="1" ht="18.75">
      <c r="A5" s="8" t="s">
        <v>160</v>
      </c>
      <c r="B5" s="6" t="s">
        <v>161</v>
      </c>
      <c r="C5" s="6" t="s">
        <v>162</v>
      </c>
      <c r="D5" s="6" t="s">
        <v>163</v>
      </c>
      <c r="E5" s="7">
        <v>405</v>
      </c>
      <c r="F5" s="6" t="s">
        <v>164</v>
      </c>
      <c r="G5" s="14"/>
      <c r="H5" s="14" t="s">
        <v>9</v>
      </c>
      <c r="I5" s="14"/>
      <c r="J5" s="14"/>
      <c r="K5" s="14"/>
    </row>
    <row x14ac:dyDescent="0.25" r="6" customHeight="1" ht="18.75">
      <c r="A6" s="8" t="s">
        <v>165</v>
      </c>
      <c r="B6" s="6" t="s">
        <v>166</v>
      </c>
      <c r="C6" s="6" t="s">
        <v>167</v>
      </c>
      <c r="D6" s="6" t="s">
        <v>168</v>
      </c>
      <c r="E6" s="7">
        <v>404</v>
      </c>
      <c r="F6" s="6" t="s">
        <v>169</v>
      </c>
      <c r="G6" s="14"/>
      <c r="H6" s="14" t="s">
        <v>9</v>
      </c>
      <c r="I6" s="14"/>
      <c r="J6" s="14"/>
      <c r="K6" s="14"/>
    </row>
    <row x14ac:dyDescent="0.25" r="7" customHeight="1" ht="18.75">
      <c r="A7" s="8" t="s">
        <v>170</v>
      </c>
      <c r="B7" s="6" t="s">
        <v>171</v>
      </c>
      <c r="C7" s="6" t="s">
        <v>172</v>
      </c>
      <c r="D7" s="6" t="s">
        <v>173</v>
      </c>
      <c r="E7" s="7">
        <v>200</v>
      </c>
      <c r="F7" s="6" t="s">
        <v>174</v>
      </c>
      <c r="G7" s="14"/>
      <c r="H7" s="14" t="s">
        <v>9</v>
      </c>
      <c r="I7" s="14"/>
      <c r="J7" s="14"/>
      <c r="K7" s="14"/>
    </row>
    <row x14ac:dyDescent="0.25" r="8" customHeight="1" ht="18.75">
      <c r="A8" s="8" t="s">
        <v>175</v>
      </c>
      <c r="B8" s="6" t="s">
        <v>171</v>
      </c>
      <c r="C8" s="6" t="s">
        <v>176</v>
      </c>
      <c r="D8" s="6" t="s">
        <v>177</v>
      </c>
      <c r="E8" s="7">
        <v>200</v>
      </c>
      <c r="F8" s="6" t="s">
        <v>178</v>
      </c>
      <c r="G8" s="14"/>
      <c r="H8" s="14" t="s">
        <v>9</v>
      </c>
      <c r="I8" s="14"/>
      <c r="J8" s="14"/>
      <c r="K8" s="14"/>
    </row>
    <row x14ac:dyDescent="0.25" r="9" customHeight="1" ht="18.75">
      <c r="A9" s="8" t="s">
        <v>179</v>
      </c>
      <c r="B9" s="6" t="s">
        <v>171</v>
      </c>
      <c r="C9" s="6" t="s">
        <v>180</v>
      </c>
      <c r="D9" s="6" t="s">
        <v>181</v>
      </c>
      <c r="E9" s="7">
        <v>200</v>
      </c>
      <c r="F9" s="6" t="s">
        <v>182</v>
      </c>
      <c r="G9" s="14"/>
      <c r="H9" s="14" t="s">
        <v>9</v>
      </c>
      <c r="I9" s="14"/>
      <c r="J9" s="14"/>
      <c r="K9" s="14"/>
    </row>
    <row x14ac:dyDescent="0.25" r="10" customHeight="1" ht="18.75">
      <c r="A10" s="8" t="s">
        <v>183</v>
      </c>
      <c r="B10" s="6" t="s">
        <v>171</v>
      </c>
      <c r="C10" s="6" t="s">
        <v>184</v>
      </c>
      <c r="D10" s="6" t="s">
        <v>185</v>
      </c>
      <c r="E10" s="7">
        <v>200</v>
      </c>
      <c r="F10" s="6" t="s">
        <v>186</v>
      </c>
      <c r="G10" s="14"/>
      <c r="H10" s="14" t="s">
        <v>9</v>
      </c>
      <c r="I10" s="14"/>
      <c r="J10" s="14"/>
      <c r="K10" s="14"/>
    </row>
    <row x14ac:dyDescent="0.25" r="11" customHeight="1" ht="18.75">
      <c r="A11" s="8" t="s">
        <v>187</v>
      </c>
      <c r="B11" s="6" t="s">
        <v>171</v>
      </c>
      <c r="C11" s="6" t="s">
        <v>188</v>
      </c>
      <c r="D11" s="6" t="s">
        <v>189</v>
      </c>
      <c r="E11" s="7">
        <v>200</v>
      </c>
      <c r="F11" s="6" t="s">
        <v>190</v>
      </c>
      <c r="G11" s="14"/>
      <c r="H11" s="14" t="s">
        <v>9</v>
      </c>
      <c r="I11" s="14"/>
      <c r="J11" s="14"/>
      <c r="K11" s="14"/>
    </row>
    <row x14ac:dyDescent="0.25" r="12" customHeight="1" ht="18.75">
      <c r="A12" s="8" t="s">
        <v>191</v>
      </c>
      <c r="B12" s="6" t="s">
        <v>171</v>
      </c>
      <c r="C12" s="6" t="s">
        <v>192</v>
      </c>
      <c r="D12" s="6" t="s">
        <v>193</v>
      </c>
      <c r="E12" s="7">
        <v>200</v>
      </c>
      <c r="F12" s="6" t="s">
        <v>194</v>
      </c>
      <c r="G12" s="14"/>
      <c r="H12" s="14" t="s">
        <v>9</v>
      </c>
      <c r="I12" s="14"/>
      <c r="J12" s="14"/>
      <c r="K12" s="14"/>
    </row>
    <row x14ac:dyDescent="0.25" r="13" customHeight="1" ht="18.75">
      <c r="A13" s="8" t="s">
        <v>195</v>
      </c>
      <c r="B13" s="6" t="s">
        <v>171</v>
      </c>
      <c r="C13" s="6" t="s">
        <v>196</v>
      </c>
      <c r="D13" s="6" t="s">
        <v>197</v>
      </c>
      <c r="E13" s="7">
        <v>200</v>
      </c>
      <c r="F13" s="6" t="s">
        <v>198</v>
      </c>
      <c r="G13" s="14"/>
      <c r="H13" s="14" t="s">
        <v>9</v>
      </c>
      <c r="I13" s="14"/>
      <c r="J13" s="14"/>
      <c r="K13" s="14"/>
    </row>
    <row x14ac:dyDescent="0.25" r="14" customHeight="1" ht="18.75">
      <c r="A14" s="8" t="s">
        <v>199</v>
      </c>
      <c r="B14" s="6" t="s">
        <v>171</v>
      </c>
      <c r="C14" s="6" t="s">
        <v>200</v>
      </c>
      <c r="D14" s="6" t="s">
        <v>201</v>
      </c>
      <c r="E14" s="7">
        <v>200</v>
      </c>
      <c r="F14" s="6" t="s">
        <v>202</v>
      </c>
      <c r="G14" s="14"/>
      <c r="H14" s="14" t="s">
        <v>9</v>
      </c>
      <c r="I14" s="14"/>
      <c r="J14" s="14"/>
      <c r="K14" s="14"/>
    </row>
    <row x14ac:dyDescent="0.25" r="15" customHeight="1" ht="18.75">
      <c r="A15" s="8" t="s">
        <v>203</v>
      </c>
      <c r="B15" s="6" t="s">
        <v>171</v>
      </c>
      <c r="C15" s="6" t="s">
        <v>204</v>
      </c>
      <c r="D15" s="6" t="s">
        <v>205</v>
      </c>
      <c r="E15" s="7">
        <v>200</v>
      </c>
      <c r="F15" s="6" t="s">
        <v>206</v>
      </c>
      <c r="G15" s="14"/>
      <c r="H15" s="14" t="s">
        <v>9</v>
      </c>
      <c r="I15" s="14"/>
      <c r="J15" s="14"/>
      <c r="K15" s="14"/>
    </row>
    <row x14ac:dyDescent="0.25" r="16" customHeight="1" ht="18.75">
      <c r="A16" s="8" t="s">
        <v>207</v>
      </c>
      <c r="B16" s="6" t="s">
        <v>171</v>
      </c>
      <c r="C16" s="6" t="s">
        <v>208</v>
      </c>
      <c r="D16" s="6" t="s">
        <v>209</v>
      </c>
      <c r="E16" s="7">
        <v>200</v>
      </c>
      <c r="F16" s="6" t="s">
        <v>210</v>
      </c>
      <c r="G16" s="14"/>
      <c r="H16" s="14" t="s">
        <v>9</v>
      </c>
      <c r="I16" s="14"/>
      <c r="J16" s="14"/>
      <c r="K16" s="14"/>
    </row>
    <row x14ac:dyDescent="0.25" r="17" customHeight="1" ht="18.75">
      <c r="A17" s="8" t="s">
        <v>211</v>
      </c>
      <c r="B17" s="6" t="s">
        <v>171</v>
      </c>
      <c r="C17" s="6" t="s">
        <v>212</v>
      </c>
      <c r="D17" s="6" t="s">
        <v>213</v>
      </c>
      <c r="E17" s="7">
        <v>200</v>
      </c>
      <c r="F17" s="6" t="s">
        <v>214</v>
      </c>
      <c r="G17" s="14"/>
      <c r="H17" s="14" t="s">
        <v>9</v>
      </c>
      <c r="I17" s="14"/>
      <c r="J17" s="14"/>
      <c r="K17" s="14"/>
    </row>
    <row x14ac:dyDescent="0.25" r="18" customHeight="1" ht="18.75">
      <c r="A18" s="8" t="s">
        <v>215</v>
      </c>
      <c r="B18" s="6" t="s">
        <v>171</v>
      </c>
      <c r="C18" s="6" t="s">
        <v>216</v>
      </c>
      <c r="D18" s="6" t="s">
        <v>217</v>
      </c>
      <c r="E18" s="7">
        <v>200</v>
      </c>
      <c r="F18" s="6" t="s">
        <v>218</v>
      </c>
      <c r="G18" s="14"/>
      <c r="H18" s="14" t="s">
        <v>9</v>
      </c>
      <c r="I18" s="14"/>
      <c r="J18" s="14"/>
      <c r="K18" s="14"/>
    </row>
    <row x14ac:dyDescent="0.25" r="19" customHeight="1" ht="18.75">
      <c r="A19" s="8" t="s">
        <v>54</v>
      </c>
      <c r="B19" s="6" t="s">
        <v>171</v>
      </c>
      <c r="C19" s="6" t="s">
        <v>219</v>
      </c>
      <c r="D19" s="6" t="s">
        <v>220</v>
      </c>
      <c r="E19" s="19" t="s">
        <v>221</v>
      </c>
      <c r="F19" s="6" t="s">
        <v>222</v>
      </c>
      <c r="G19" s="14"/>
      <c r="H19" s="14" t="s">
        <v>9</v>
      </c>
      <c r="I19" s="14"/>
      <c r="J19" s="14"/>
      <c r="K19" s="14"/>
    </row>
    <row x14ac:dyDescent="0.25" r="20" customHeight="1" ht="18.75">
      <c r="A20" s="8" t="s">
        <v>223</v>
      </c>
      <c r="B20" s="6" t="s">
        <v>171</v>
      </c>
      <c r="C20" s="6" t="s">
        <v>224</v>
      </c>
      <c r="D20" s="6" t="s">
        <v>225</v>
      </c>
      <c r="E20" s="7">
        <v>400</v>
      </c>
      <c r="F20" s="6" t="s">
        <v>226</v>
      </c>
      <c r="G20" s="14"/>
      <c r="H20" s="14" t="s">
        <v>9</v>
      </c>
      <c r="I20" s="14"/>
      <c r="J20" s="14"/>
      <c r="K20" s="14"/>
    </row>
    <row x14ac:dyDescent="0.25" r="21" customHeight="1" ht="18.75">
      <c r="A21" s="8" t="s">
        <v>227</v>
      </c>
      <c r="B21" s="6" t="s">
        <v>171</v>
      </c>
      <c r="C21" s="6" t="s">
        <v>228</v>
      </c>
      <c r="D21" s="6" t="s">
        <v>229</v>
      </c>
      <c r="E21" s="7">
        <v>422</v>
      </c>
      <c r="F21" s="6" t="s">
        <v>230</v>
      </c>
      <c r="G21" s="14"/>
      <c r="H21" s="14" t="s">
        <v>9</v>
      </c>
      <c r="I21" s="14"/>
      <c r="J21" s="14"/>
      <c r="K21" s="14"/>
    </row>
    <row x14ac:dyDescent="0.25" r="22" customHeight="1" ht="18.75">
      <c r="A22" s="8" t="s">
        <v>231</v>
      </c>
      <c r="B22" s="6" t="s">
        <v>171</v>
      </c>
      <c r="C22" s="6" t="s">
        <v>232</v>
      </c>
      <c r="D22" s="6" t="s">
        <v>233</v>
      </c>
      <c r="E22" s="7">
        <v>422</v>
      </c>
      <c r="F22" s="6" t="s">
        <v>230</v>
      </c>
      <c r="G22" s="14"/>
      <c r="H22" s="14" t="s">
        <v>9</v>
      </c>
      <c r="I22" s="14"/>
      <c r="J22" s="14"/>
      <c r="K22" s="14"/>
    </row>
    <row x14ac:dyDescent="0.25" r="23" customHeight="1" ht="18.75">
      <c r="A23" s="8" t="s">
        <v>234</v>
      </c>
      <c r="B23" s="6" t="s">
        <v>171</v>
      </c>
      <c r="C23" s="6" t="s">
        <v>235</v>
      </c>
      <c r="D23" s="6" t="s">
        <v>236</v>
      </c>
      <c r="E23" s="7">
        <v>422</v>
      </c>
      <c r="F23" s="6" t="s">
        <v>237</v>
      </c>
      <c r="G23" s="14"/>
      <c r="H23" s="14" t="s">
        <v>9</v>
      </c>
      <c r="I23" s="14"/>
      <c r="J23" s="14"/>
      <c r="K23" s="14"/>
    </row>
    <row x14ac:dyDescent="0.25" r="24" customHeight="1" ht="18.75">
      <c r="A24" s="8" t="s">
        <v>136</v>
      </c>
      <c r="B24" s="6" t="s">
        <v>171</v>
      </c>
      <c r="C24" s="6" t="s">
        <v>238</v>
      </c>
      <c r="D24" s="6" t="s">
        <v>239</v>
      </c>
      <c r="E24" s="7">
        <v>422</v>
      </c>
      <c r="F24" s="6" t="s">
        <v>237</v>
      </c>
      <c r="G24" s="14"/>
      <c r="H24" s="14" t="s">
        <v>9</v>
      </c>
      <c r="I24" s="14"/>
      <c r="J24" s="14"/>
      <c r="K24" s="14"/>
    </row>
    <row x14ac:dyDescent="0.25" r="25" customHeight="1" ht="18.75">
      <c r="A25" s="8" t="s">
        <v>240</v>
      </c>
      <c r="B25" s="6" t="s">
        <v>171</v>
      </c>
      <c r="C25" s="6" t="s">
        <v>241</v>
      </c>
      <c r="D25" s="6" t="s">
        <v>242</v>
      </c>
      <c r="E25" s="7">
        <v>422</v>
      </c>
      <c r="F25" s="6" t="s">
        <v>243</v>
      </c>
      <c r="G25" s="14"/>
      <c r="H25" s="14" t="s">
        <v>9</v>
      </c>
      <c r="I25" s="14"/>
      <c r="J25" s="14"/>
      <c r="K25" s="14"/>
    </row>
    <row x14ac:dyDescent="0.25" r="26" customHeight="1" ht="18.75">
      <c r="A26" s="8" t="s">
        <v>244</v>
      </c>
      <c r="B26" s="6" t="s">
        <v>171</v>
      </c>
      <c r="C26" s="6" t="s">
        <v>245</v>
      </c>
      <c r="D26" s="6" t="s">
        <v>246</v>
      </c>
      <c r="E26" s="7">
        <v>422</v>
      </c>
      <c r="F26" s="6" t="s">
        <v>247</v>
      </c>
      <c r="G26" s="14"/>
      <c r="H26" s="14" t="s">
        <v>9</v>
      </c>
      <c r="I26" s="14"/>
      <c r="J26" s="14"/>
      <c r="K26" s="14"/>
    </row>
    <row x14ac:dyDescent="0.25" r="27" customHeight="1" ht="18.75">
      <c r="A27" s="8" t="s">
        <v>248</v>
      </c>
      <c r="B27" s="6" t="s">
        <v>171</v>
      </c>
      <c r="C27" s="6" t="s">
        <v>249</v>
      </c>
      <c r="D27" s="6" t="s">
        <v>250</v>
      </c>
      <c r="E27" s="7">
        <v>422</v>
      </c>
      <c r="F27" s="6" t="s">
        <v>251</v>
      </c>
      <c r="G27" s="14"/>
      <c r="H27" s="14" t="s">
        <v>9</v>
      </c>
      <c r="I27" s="14"/>
      <c r="J27" s="14"/>
      <c r="K27" s="14"/>
    </row>
    <row x14ac:dyDescent="0.25" r="28" customHeight="1" ht="18.75">
      <c r="A28" s="8" t="s">
        <v>252</v>
      </c>
      <c r="B28" s="6" t="s">
        <v>171</v>
      </c>
      <c r="C28" s="6" t="s">
        <v>253</v>
      </c>
      <c r="D28" s="6" t="s">
        <v>254</v>
      </c>
      <c r="E28" s="7">
        <v>422</v>
      </c>
      <c r="F28" s="6" t="s">
        <v>251</v>
      </c>
      <c r="G28" s="14"/>
      <c r="H28" s="14" t="s">
        <v>9</v>
      </c>
      <c r="I28" s="14"/>
      <c r="J28" s="14"/>
      <c r="K28" s="14"/>
    </row>
    <row x14ac:dyDescent="0.25" r="29" customHeight="1" ht="18.75">
      <c r="A29" s="8" t="s">
        <v>255</v>
      </c>
      <c r="B29" s="6" t="s">
        <v>171</v>
      </c>
      <c r="C29" s="6" t="s">
        <v>256</v>
      </c>
      <c r="D29" s="6" t="s">
        <v>257</v>
      </c>
      <c r="E29" s="7">
        <v>422</v>
      </c>
      <c r="F29" s="6" t="s">
        <v>251</v>
      </c>
      <c r="G29" s="14"/>
      <c r="H29" s="14" t="s">
        <v>9</v>
      </c>
      <c r="I29" s="14"/>
      <c r="J29" s="14"/>
      <c r="K29" s="14"/>
    </row>
    <row x14ac:dyDescent="0.25" r="30" customHeight="1" ht="18.75">
      <c r="A30" s="8" t="s">
        <v>258</v>
      </c>
      <c r="B30" s="6" t="s">
        <v>171</v>
      </c>
      <c r="C30" s="6" t="s">
        <v>259</v>
      </c>
      <c r="D30" s="6" t="s">
        <v>260</v>
      </c>
      <c r="E30" s="7">
        <v>422</v>
      </c>
      <c r="F30" s="6" t="s">
        <v>251</v>
      </c>
      <c r="G30" s="14"/>
      <c r="H30" s="14" t="s">
        <v>9</v>
      </c>
      <c r="I30" s="14"/>
      <c r="J30" s="14"/>
      <c r="K30" s="14"/>
    </row>
    <row x14ac:dyDescent="0.25" r="31" customHeight="1" ht="18.75">
      <c r="A31" s="8" t="s">
        <v>261</v>
      </c>
      <c r="B31" s="6" t="s">
        <v>171</v>
      </c>
      <c r="C31" s="6" t="s">
        <v>262</v>
      </c>
      <c r="D31" s="6" t="s">
        <v>263</v>
      </c>
      <c r="E31" s="7">
        <v>422</v>
      </c>
      <c r="F31" s="6" t="s">
        <v>251</v>
      </c>
      <c r="G31" s="14"/>
      <c r="H31" s="14" t="s">
        <v>9</v>
      </c>
      <c r="I31" s="14"/>
      <c r="J31" s="14"/>
      <c r="K31" s="14"/>
    </row>
    <row x14ac:dyDescent="0.25" r="32" customHeight="1" ht="18.75">
      <c r="A32" s="8" t="s">
        <v>264</v>
      </c>
      <c r="B32" s="6" t="s">
        <v>171</v>
      </c>
      <c r="C32" s="6" t="s">
        <v>265</v>
      </c>
      <c r="D32" s="6" t="s">
        <v>266</v>
      </c>
      <c r="E32" s="7">
        <v>200</v>
      </c>
      <c r="F32" s="6" t="s">
        <v>267</v>
      </c>
      <c r="G32" s="14"/>
      <c r="H32" s="14" t="s">
        <v>9</v>
      </c>
      <c r="I32" s="14"/>
      <c r="J32" s="14"/>
      <c r="K32" s="14"/>
    </row>
    <row x14ac:dyDescent="0.25" r="33" customHeight="1" ht="18.75">
      <c r="A33" s="8" t="s">
        <v>268</v>
      </c>
      <c r="B33" s="6" t="s">
        <v>171</v>
      </c>
      <c r="C33" s="6" t="s">
        <v>269</v>
      </c>
      <c r="D33" s="6" t="s">
        <v>270</v>
      </c>
      <c r="E33" s="7">
        <v>422</v>
      </c>
      <c r="F33" s="6" t="s">
        <v>271</v>
      </c>
      <c r="G33" s="14"/>
      <c r="H33" s="14" t="s">
        <v>9</v>
      </c>
      <c r="I33" s="14"/>
      <c r="J33" s="14"/>
      <c r="K33" s="14"/>
    </row>
    <row x14ac:dyDescent="0.25" r="34" customHeight="1" ht="18.75">
      <c r="A34" s="8" t="s">
        <v>272</v>
      </c>
      <c r="B34" s="6" t="s">
        <v>171</v>
      </c>
      <c r="C34" s="6" t="s">
        <v>273</v>
      </c>
      <c r="D34" s="6" t="s">
        <v>274</v>
      </c>
      <c r="E34" s="7">
        <v>200</v>
      </c>
      <c r="F34" s="6" t="s">
        <v>275</v>
      </c>
      <c r="G34" s="14"/>
      <c r="H34" s="14" t="s">
        <v>9</v>
      </c>
      <c r="I34" s="14"/>
      <c r="J34" s="14"/>
      <c r="K34" s="14"/>
    </row>
    <row x14ac:dyDescent="0.25" r="35" customHeight="1" ht="18.75">
      <c r="A35" s="8" t="s">
        <v>276</v>
      </c>
      <c r="B35" s="6" t="s">
        <v>277</v>
      </c>
      <c r="C35" s="6" t="s">
        <v>278</v>
      </c>
      <c r="D35" s="6" t="s">
        <v>279</v>
      </c>
      <c r="E35" s="7">
        <v>201</v>
      </c>
      <c r="F35" s="6" t="s">
        <v>280</v>
      </c>
      <c r="G35" s="14"/>
      <c r="H35" s="14" t="s">
        <v>9</v>
      </c>
      <c r="I35" s="14"/>
      <c r="J35" s="14"/>
      <c r="K35" s="14"/>
    </row>
    <row x14ac:dyDescent="0.25" r="36" customHeight="1" ht="18.75">
      <c r="A36" s="8" t="s">
        <v>281</v>
      </c>
      <c r="B36" s="6" t="s">
        <v>277</v>
      </c>
      <c r="C36" s="6" t="s">
        <v>282</v>
      </c>
      <c r="D36" s="6" t="s">
        <v>283</v>
      </c>
      <c r="E36" s="7">
        <v>201</v>
      </c>
      <c r="F36" s="6" t="s">
        <v>284</v>
      </c>
      <c r="G36" s="14"/>
      <c r="H36" s="14" t="s">
        <v>9</v>
      </c>
      <c r="I36" s="14"/>
      <c r="J36" s="14"/>
      <c r="K36" s="14"/>
    </row>
    <row x14ac:dyDescent="0.25" r="37" customHeight="1" ht="18.75">
      <c r="A37" s="8" t="s">
        <v>285</v>
      </c>
      <c r="B37" s="6" t="s">
        <v>277</v>
      </c>
      <c r="C37" s="6" t="s">
        <v>208</v>
      </c>
      <c r="D37" s="6" t="s">
        <v>209</v>
      </c>
      <c r="E37" s="7">
        <v>422</v>
      </c>
      <c r="F37" s="6" t="s">
        <v>286</v>
      </c>
      <c r="G37" s="14"/>
      <c r="H37" s="14" t="s">
        <v>9</v>
      </c>
      <c r="I37" s="14"/>
      <c r="J37" s="14"/>
      <c r="K37" s="14"/>
    </row>
    <row x14ac:dyDescent="0.25" r="38" customHeight="1" ht="18.75">
      <c r="A38" s="8" t="s">
        <v>287</v>
      </c>
      <c r="B38" s="6" t="s">
        <v>277</v>
      </c>
      <c r="C38" s="6" t="s">
        <v>212</v>
      </c>
      <c r="D38" s="6" t="s">
        <v>213</v>
      </c>
      <c r="E38" s="7">
        <v>422</v>
      </c>
      <c r="F38" s="6" t="s">
        <v>288</v>
      </c>
      <c r="G38" s="14"/>
      <c r="H38" s="14" t="s">
        <v>9</v>
      </c>
      <c r="I38" s="14"/>
      <c r="J38" s="14"/>
      <c r="K38" s="14"/>
    </row>
    <row x14ac:dyDescent="0.25" r="39" customHeight="1" ht="18.75">
      <c r="A39" s="8" t="s">
        <v>289</v>
      </c>
      <c r="B39" s="6" t="s">
        <v>277</v>
      </c>
      <c r="C39" s="6" t="s">
        <v>290</v>
      </c>
      <c r="D39" s="6" t="s">
        <v>291</v>
      </c>
      <c r="E39" s="7">
        <v>422</v>
      </c>
      <c r="F39" s="6" t="s">
        <v>292</v>
      </c>
      <c r="G39" s="14"/>
      <c r="H39" s="14" t="s">
        <v>9</v>
      </c>
      <c r="I39" s="14"/>
      <c r="J39" s="14"/>
      <c r="K39" s="14"/>
    </row>
    <row x14ac:dyDescent="0.25" r="40" customHeight="1" ht="18.75">
      <c r="A40" s="8" t="s">
        <v>293</v>
      </c>
      <c r="B40" s="6" t="s">
        <v>277</v>
      </c>
      <c r="C40" s="6" t="s">
        <v>294</v>
      </c>
      <c r="D40" s="6" t="s">
        <v>295</v>
      </c>
      <c r="E40" s="7">
        <v>422</v>
      </c>
      <c r="F40" s="6" t="s">
        <v>296</v>
      </c>
      <c r="G40" s="14"/>
      <c r="H40" s="14" t="s">
        <v>9</v>
      </c>
      <c r="I40" s="14"/>
      <c r="J40" s="14"/>
      <c r="K40" s="14"/>
    </row>
    <row x14ac:dyDescent="0.25" r="41" customHeight="1" ht="18.75">
      <c r="A41" s="8" t="s">
        <v>297</v>
      </c>
      <c r="B41" s="6" t="s">
        <v>277</v>
      </c>
      <c r="C41" s="6" t="s">
        <v>298</v>
      </c>
      <c r="D41" s="6" t="s">
        <v>299</v>
      </c>
      <c r="E41" s="7">
        <v>422</v>
      </c>
      <c r="F41" s="6" t="s">
        <v>296</v>
      </c>
      <c r="G41" s="14"/>
      <c r="H41" s="14" t="s">
        <v>9</v>
      </c>
      <c r="I41" s="14"/>
      <c r="J41" s="14"/>
      <c r="K41" s="14"/>
    </row>
    <row x14ac:dyDescent="0.25" r="42" customHeight="1" ht="18.75">
      <c r="A42" s="8" t="s">
        <v>300</v>
      </c>
      <c r="B42" s="6" t="s">
        <v>277</v>
      </c>
      <c r="C42" s="6" t="s">
        <v>301</v>
      </c>
      <c r="D42" s="6" t="s">
        <v>302</v>
      </c>
      <c r="E42" s="7">
        <v>201</v>
      </c>
      <c r="F42" s="6" t="s">
        <v>303</v>
      </c>
      <c r="G42" s="14"/>
      <c r="H42" s="14" t="s">
        <v>9</v>
      </c>
      <c r="I42" s="14"/>
      <c r="J42" s="14"/>
      <c r="K42" s="14"/>
    </row>
    <row x14ac:dyDescent="0.25" r="43" customHeight="1" ht="18.75">
      <c r="A43" s="8" t="s">
        <v>304</v>
      </c>
      <c r="B43" s="6" t="s">
        <v>277</v>
      </c>
      <c r="C43" s="6" t="s">
        <v>305</v>
      </c>
      <c r="D43" s="6" t="s">
        <v>306</v>
      </c>
      <c r="E43" s="7">
        <v>422</v>
      </c>
      <c r="F43" s="6" t="s">
        <v>307</v>
      </c>
      <c r="G43" s="14"/>
      <c r="H43" s="14" t="s">
        <v>9</v>
      </c>
      <c r="I43" s="14"/>
      <c r="J43" s="14"/>
      <c r="K43" s="14"/>
    </row>
    <row x14ac:dyDescent="0.25" r="44" customHeight="1" ht="18.75">
      <c r="A44" s="8" t="s">
        <v>308</v>
      </c>
      <c r="B44" s="6" t="s">
        <v>277</v>
      </c>
      <c r="C44" s="6" t="s">
        <v>309</v>
      </c>
      <c r="D44" s="6" t="s">
        <v>310</v>
      </c>
      <c r="E44" s="7">
        <v>422</v>
      </c>
      <c r="F44" s="6" t="s">
        <v>311</v>
      </c>
      <c r="G44" s="14"/>
      <c r="H44" s="14" t="s">
        <v>9</v>
      </c>
      <c r="I44" s="14"/>
      <c r="J44" s="14"/>
      <c r="K44" s="14"/>
    </row>
    <row x14ac:dyDescent="0.25" r="45" customHeight="1" ht="18.75">
      <c r="A45" s="8" t="s">
        <v>312</v>
      </c>
      <c r="B45" s="6" t="s">
        <v>277</v>
      </c>
      <c r="C45" s="6" t="s">
        <v>313</v>
      </c>
      <c r="D45" s="6" t="s">
        <v>314</v>
      </c>
      <c r="E45" s="7">
        <v>422</v>
      </c>
      <c r="F45" s="6" t="s">
        <v>271</v>
      </c>
      <c r="G45" s="14"/>
      <c r="H45" s="14" t="s">
        <v>9</v>
      </c>
      <c r="I45" s="14"/>
      <c r="J45" s="14"/>
      <c r="K45" s="14"/>
    </row>
    <row x14ac:dyDescent="0.25" r="46" customHeight="1" ht="18.75">
      <c r="A46" s="8" t="s">
        <v>315</v>
      </c>
      <c r="B46" s="6" t="s">
        <v>277</v>
      </c>
      <c r="C46" s="6" t="s">
        <v>316</v>
      </c>
      <c r="D46" s="6" t="s">
        <v>233</v>
      </c>
      <c r="E46" s="7">
        <v>422</v>
      </c>
      <c r="F46" s="6" t="s">
        <v>230</v>
      </c>
      <c r="G46" s="14"/>
      <c r="H46" s="14" t="s">
        <v>9</v>
      </c>
      <c r="I46" s="14"/>
      <c r="J46" s="14"/>
      <c r="K46" s="14"/>
    </row>
    <row x14ac:dyDescent="0.25" r="47" customHeight="1" ht="18.75">
      <c r="A47" s="8" t="s">
        <v>73</v>
      </c>
      <c r="B47" s="6" t="s">
        <v>277</v>
      </c>
      <c r="C47" s="6" t="s">
        <v>317</v>
      </c>
      <c r="D47" s="6" t="s">
        <v>318</v>
      </c>
      <c r="E47" s="7">
        <v>422</v>
      </c>
      <c r="F47" s="6" t="s">
        <v>319</v>
      </c>
      <c r="G47" s="14"/>
      <c r="H47" s="14" t="s">
        <v>9</v>
      </c>
      <c r="I47" s="14"/>
      <c r="J47" s="14"/>
      <c r="K47" s="14"/>
    </row>
    <row x14ac:dyDescent="0.25" r="48" customHeight="1" ht="18.75">
      <c r="A48" s="8" t="s">
        <v>320</v>
      </c>
      <c r="B48" s="6" t="s">
        <v>321</v>
      </c>
      <c r="C48" s="6" t="s">
        <v>322</v>
      </c>
      <c r="D48" s="6" t="s">
        <v>323</v>
      </c>
      <c r="E48" s="19" t="s">
        <v>324</v>
      </c>
      <c r="F48" s="6" t="s">
        <v>325</v>
      </c>
      <c r="G48" s="14"/>
      <c r="H48" s="14" t="s">
        <v>9</v>
      </c>
      <c r="I48" s="14"/>
      <c r="J48" s="14"/>
      <c r="K48" s="14"/>
    </row>
    <row x14ac:dyDescent="0.25" r="49" customHeight="1" ht="18.75">
      <c r="A49" s="8" t="s">
        <v>326</v>
      </c>
      <c r="B49" s="6" t="s">
        <v>321</v>
      </c>
      <c r="C49" s="6" t="s">
        <v>327</v>
      </c>
      <c r="D49" s="6" t="s">
        <v>328</v>
      </c>
      <c r="E49" s="19" t="s">
        <v>324</v>
      </c>
      <c r="F49" s="6" t="s">
        <v>329</v>
      </c>
      <c r="G49" s="14"/>
      <c r="H49" s="14" t="s">
        <v>9</v>
      </c>
      <c r="I49" s="14"/>
      <c r="J49" s="14"/>
      <c r="K49" s="14"/>
    </row>
    <row x14ac:dyDescent="0.25" r="50" customHeight="1" ht="18.75">
      <c r="A50" s="8" t="s">
        <v>330</v>
      </c>
      <c r="B50" s="6" t="s">
        <v>171</v>
      </c>
      <c r="C50" s="6" t="s">
        <v>331</v>
      </c>
      <c r="D50" s="6" t="s">
        <v>332</v>
      </c>
      <c r="E50" s="7">
        <v>200</v>
      </c>
      <c r="F50" s="6" t="s">
        <v>333</v>
      </c>
      <c r="G50" s="14"/>
      <c r="H50" s="14" t="s">
        <v>9</v>
      </c>
      <c r="I50" s="14"/>
      <c r="J50" s="14"/>
      <c r="K50" s="14"/>
    </row>
    <row x14ac:dyDescent="0.25" r="51" customHeight="1" ht="18.75">
      <c r="A51" s="3"/>
      <c r="B51" s="15"/>
      <c r="C51" s="15"/>
      <c r="D51" s="15"/>
      <c r="E51" s="2"/>
      <c r="F51" s="15"/>
      <c r="G51" s="15"/>
      <c r="H51" s="15"/>
      <c r="I51" s="15"/>
      <c r="J51" s="15"/>
      <c r="K51" s="15"/>
    </row>
    <row x14ac:dyDescent="0.25" r="52" customHeight="1" ht="18.75">
      <c r="A52" s="16" t="s">
        <v>334</v>
      </c>
      <c r="B52" s="15"/>
      <c r="C52" s="15"/>
      <c r="D52" s="15"/>
      <c r="E52" s="2"/>
      <c r="F52" s="15"/>
      <c r="G52" s="15"/>
      <c r="H52" s="15"/>
      <c r="I52" s="15"/>
      <c r="J52" s="15"/>
      <c r="K5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12.005" customWidth="1" bestFit="1"/>
    <col min="2" max="2" style="11" width="34.005" customWidth="1" bestFit="1"/>
    <col min="3" max="3" style="11" width="12.005" customWidth="1" bestFit="1"/>
    <col min="4" max="4" style="11" width="12.005" customWidth="1" bestFit="1"/>
    <col min="5" max="5" style="11" width="10.005" customWidth="1" bestFit="1"/>
    <col min="6" max="6" style="11" width="12.005" customWidth="1" bestFit="1"/>
    <col min="7" max="7" style="11" width="22.005" customWidth="1" bestFit="1"/>
    <col min="8" max="8" style="11" width="42.005" customWidth="1" bestFit="1"/>
    <col min="9" max="9" style="11" width="34.005" customWidth="1" bestFit="1"/>
    <col min="10" max="10" style="11" width="34.005" customWidth="1" bestFit="1"/>
    <col min="11" max="11" style="11" width="22.005" customWidth="1" bestFit="1"/>
    <col min="12" max="12" style="11" width="14.005" customWidth="1" bestFit="1"/>
    <col min="13" max="13" style="11" width="14.005" customWidth="1" bestFit="1"/>
    <col min="14" max="14" style="11" width="14.005" customWidth="1" bestFit="1"/>
  </cols>
  <sheetData>
    <row x14ac:dyDescent="0.25" r="1" customHeight="1" ht="18.75">
      <c r="A1" s="4" t="s">
        <v>84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29</v>
      </c>
      <c r="M1" s="4" t="s">
        <v>95</v>
      </c>
      <c r="N1" s="4" t="s">
        <v>96</v>
      </c>
    </row>
    <row x14ac:dyDescent="0.25" r="2" customHeight="1" ht="18.75">
      <c r="A2" s="18" t="s">
        <v>97</v>
      </c>
      <c r="B2" s="18" t="s">
        <v>98</v>
      </c>
      <c r="C2" s="18" t="s">
        <v>21</v>
      </c>
      <c r="D2" s="18" t="s">
        <v>21</v>
      </c>
      <c r="E2" s="18" t="s">
        <v>99</v>
      </c>
      <c r="F2" s="18" t="s">
        <v>100</v>
      </c>
      <c r="G2" s="18" t="s">
        <v>101</v>
      </c>
      <c r="H2" s="18" t="s">
        <v>102</v>
      </c>
      <c r="I2" s="18" t="s">
        <v>103</v>
      </c>
      <c r="J2" s="18" t="s">
        <v>104</v>
      </c>
      <c r="K2" s="18" t="s">
        <v>105</v>
      </c>
      <c r="L2" s="18" t="s">
        <v>106</v>
      </c>
      <c r="M2" s="18" t="s">
        <v>107</v>
      </c>
      <c r="N2" s="18" t="s">
        <v>108</v>
      </c>
    </row>
    <row x14ac:dyDescent="0.25" r="3" customHeight="1" ht="18.75">
      <c r="A3" s="14" t="s">
        <v>109</v>
      </c>
      <c r="B3" s="14" t="s">
        <v>110</v>
      </c>
      <c r="C3" s="14" t="s">
        <v>21</v>
      </c>
      <c r="D3" s="14" t="s">
        <v>21</v>
      </c>
      <c r="E3" s="14" t="s">
        <v>111</v>
      </c>
      <c r="F3" s="14" t="s">
        <v>112</v>
      </c>
      <c r="G3" s="14" t="s">
        <v>113</v>
      </c>
      <c r="H3" s="14" t="s">
        <v>114</v>
      </c>
      <c r="I3" s="14" t="s">
        <v>115</v>
      </c>
      <c r="J3" s="14" t="s">
        <v>116</v>
      </c>
      <c r="K3" s="14" t="s">
        <v>117</v>
      </c>
      <c r="L3" s="14" t="s">
        <v>118</v>
      </c>
      <c r="M3" s="14" t="s">
        <v>119</v>
      </c>
      <c r="N3" s="14" t="s">
        <v>108</v>
      </c>
    </row>
    <row x14ac:dyDescent="0.25" r="4" customHeight="1" ht="18.75">
      <c r="A4" s="14" t="s">
        <v>120</v>
      </c>
      <c r="B4" s="14" t="s">
        <v>121</v>
      </c>
      <c r="C4" s="14" t="s">
        <v>21</v>
      </c>
      <c r="D4" s="14" t="s">
        <v>21</v>
      </c>
      <c r="E4" s="14" t="s">
        <v>42</v>
      </c>
      <c r="F4" s="14" t="s">
        <v>52</v>
      </c>
      <c r="G4" s="14" t="s">
        <v>122</v>
      </c>
      <c r="H4" s="14" t="s">
        <v>123</v>
      </c>
      <c r="I4" s="14" t="s">
        <v>124</v>
      </c>
      <c r="J4" s="14" t="s">
        <v>125</v>
      </c>
      <c r="K4" s="14" t="s">
        <v>126</v>
      </c>
      <c r="L4" s="14" t="s">
        <v>127</v>
      </c>
      <c r="M4" s="14" t="s">
        <v>128</v>
      </c>
      <c r="N4" s="14" t="s">
        <v>108</v>
      </c>
    </row>
    <row x14ac:dyDescent="0.25" r="5" customHeight="1" ht="18.75">
      <c r="A5" s="14" t="s">
        <v>129</v>
      </c>
      <c r="B5" s="14" t="s">
        <v>130</v>
      </c>
      <c r="C5" s="14" t="s">
        <v>23</v>
      </c>
      <c r="D5" s="14" t="s">
        <v>23</v>
      </c>
      <c r="E5" s="14" t="s">
        <v>131</v>
      </c>
      <c r="F5" s="14" t="s">
        <v>52</v>
      </c>
      <c r="G5" s="14" t="s">
        <v>122</v>
      </c>
      <c r="H5" s="14" t="s">
        <v>132</v>
      </c>
      <c r="I5" s="14" t="s">
        <v>133</v>
      </c>
      <c r="J5" s="14" t="s">
        <v>134</v>
      </c>
      <c r="K5" s="14" t="s">
        <v>135</v>
      </c>
      <c r="L5" s="14" t="s">
        <v>136</v>
      </c>
      <c r="M5" s="14" t="s">
        <v>137</v>
      </c>
      <c r="N5" s="14" t="s">
        <v>138</v>
      </c>
    </row>
    <row x14ac:dyDescent="0.25" r="6" customHeight="1" ht="18.7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x14ac:dyDescent="0.25" r="7" customHeight="1" ht="18.7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x14ac:dyDescent="0.25" r="8" customHeight="1" ht="18.7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x14ac:dyDescent="0.25" r="9" customHeight="1" ht="18.7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x14ac:dyDescent="0.25" r="10" customHeight="1" ht="18.7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x14ac:dyDescent="0.25" r="11" customHeight="1" ht="18.7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x14ac:dyDescent="0.25" r="12" customHeight="1" ht="18.7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x14ac:dyDescent="0.25" r="13" customHeight="1" ht="18.7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x14ac:dyDescent="0.25" r="14" customHeight="1" ht="18.7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x14ac:dyDescent="0.25" r="15" customHeight="1" ht="18.7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x14ac:dyDescent="0.25" r="16" customHeight="1" ht="18.7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x14ac:dyDescent="0.25" r="17" customHeight="1" ht="18.7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x14ac:dyDescent="0.25" r="18" customHeight="1" ht="18.7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x14ac:dyDescent="0.25" r="19" customHeight="1" ht="18.7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x14ac:dyDescent="0.25" r="20" customHeight="1" ht="18.7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x14ac:dyDescent="0.25" r="21" customHeight="1" ht="18.7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x14ac:dyDescent="0.25" r="22" customHeight="1" ht="18.7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x14ac:dyDescent="0.25" r="23" customHeight="1" ht="18.7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x14ac:dyDescent="0.25" r="24" customHeight="1" ht="18.7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x14ac:dyDescent="0.25" r="25" customHeight="1" ht="18.7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x14ac:dyDescent="0.25" r="26" customHeight="1" ht="18.7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x14ac:dyDescent="0.25" r="27" customHeight="1" ht="18.7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x14ac:dyDescent="0.25" r="28" customHeight="1" ht="18.7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x14ac:dyDescent="0.25" r="29" customHeight="1" ht="18.7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x14ac:dyDescent="0.25" r="30" customHeight="1" ht="18.7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x14ac:dyDescent="0.25" r="31" customHeight="1" ht="18.7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/>
  </sheetViews>
  <sheetFormatPr defaultRowHeight="15" x14ac:dyDescent="0.25"/>
  <cols>
    <col min="1" max="1" style="13" width="5.005" customWidth="1" bestFit="1"/>
    <col min="2" max="2" style="11" width="38.005" customWidth="1" bestFit="1"/>
    <col min="3" max="3" style="17" width="12.005" customWidth="1" bestFit="1"/>
    <col min="4" max="4" style="17" width="44.005" customWidth="1" bestFit="1"/>
    <col min="5" max="5" style="17" width="44.005" customWidth="1" bestFit="1"/>
    <col min="6" max="6" style="17" width="16.005" customWidth="1" bestFit="1"/>
    <col min="7" max="7" style="17" width="34.005" customWidth="1" bestFit="1"/>
  </cols>
  <sheetData>
    <row x14ac:dyDescent="0.25" r="1" customHeight="1" ht="18.75">
      <c r="A1" s="5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</row>
    <row x14ac:dyDescent="0.25" r="2" customHeight="1" ht="18.75">
      <c r="A2" s="7">
        <v>1</v>
      </c>
      <c r="B2" s="6" t="s">
        <v>31</v>
      </c>
      <c r="C2" s="6" t="s">
        <v>32</v>
      </c>
      <c r="D2" s="6" t="s">
        <v>33</v>
      </c>
      <c r="E2" s="14" t="s">
        <v>34</v>
      </c>
      <c r="F2" s="6" t="s">
        <v>35</v>
      </c>
      <c r="G2" s="14"/>
    </row>
    <row x14ac:dyDescent="0.25" r="3" customHeight="1" ht="18.75">
      <c r="A3" s="7">
        <v>2</v>
      </c>
      <c r="B3" s="6" t="s">
        <v>36</v>
      </c>
      <c r="C3" s="6" t="s">
        <v>37</v>
      </c>
      <c r="D3" s="6" t="s">
        <v>38</v>
      </c>
      <c r="E3" s="14" t="s">
        <v>39</v>
      </c>
      <c r="F3" s="6" t="s">
        <v>40</v>
      </c>
      <c r="G3" s="14"/>
    </row>
    <row x14ac:dyDescent="0.25" r="4" customHeight="1" ht="18.75">
      <c r="A4" s="7">
        <v>3</v>
      </c>
      <c r="B4" s="6" t="s">
        <v>41</v>
      </c>
      <c r="C4" s="6" t="s">
        <v>42</v>
      </c>
      <c r="D4" s="6" t="s">
        <v>43</v>
      </c>
      <c r="E4" s="14" t="s">
        <v>44</v>
      </c>
      <c r="F4" s="6" t="s">
        <v>45</v>
      </c>
      <c r="G4" s="14"/>
    </row>
    <row x14ac:dyDescent="0.25" r="5" customHeight="1" ht="18.75">
      <c r="A5" s="7">
        <v>4</v>
      </c>
      <c r="B5" s="6" t="s">
        <v>46</v>
      </c>
      <c r="C5" s="6" t="s">
        <v>47</v>
      </c>
      <c r="D5" s="6" t="s">
        <v>48</v>
      </c>
      <c r="E5" s="14" t="s">
        <v>49</v>
      </c>
      <c r="F5" s="6" t="s">
        <v>50</v>
      </c>
      <c r="G5" s="14"/>
    </row>
    <row x14ac:dyDescent="0.25" r="6" customHeight="1" ht="18.75">
      <c r="A6" s="7">
        <v>5</v>
      </c>
      <c r="B6" s="6" t="s">
        <v>51</v>
      </c>
      <c r="C6" s="6" t="s">
        <v>52</v>
      </c>
      <c r="D6" s="6" t="s">
        <v>48</v>
      </c>
      <c r="E6" s="14" t="s">
        <v>53</v>
      </c>
      <c r="F6" s="6" t="s">
        <v>54</v>
      </c>
      <c r="G6" s="14"/>
    </row>
    <row x14ac:dyDescent="0.25" r="7" customHeight="1" ht="18.75">
      <c r="A7" s="7">
        <v>6</v>
      </c>
      <c r="B7" s="6" t="s">
        <v>55</v>
      </c>
      <c r="C7" s="6" t="s">
        <v>56</v>
      </c>
      <c r="D7" s="6" t="s">
        <v>57</v>
      </c>
      <c r="E7" s="14" t="s">
        <v>58</v>
      </c>
      <c r="F7" s="6" t="s">
        <v>59</v>
      </c>
      <c r="G7" s="14"/>
    </row>
    <row x14ac:dyDescent="0.25" r="8" customHeight="1" ht="18.75">
      <c r="A8" s="7">
        <v>7</v>
      </c>
      <c r="B8" s="6" t="s">
        <v>60</v>
      </c>
      <c r="C8" s="6" t="s">
        <v>61</v>
      </c>
      <c r="D8" s="6" t="s">
        <v>62</v>
      </c>
      <c r="E8" s="14" t="s">
        <v>63</v>
      </c>
      <c r="F8" s="6" t="s">
        <v>64</v>
      </c>
      <c r="G8" s="14"/>
    </row>
    <row x14ac:dyDescent="0.25" r="9" customHeight="1" ht="18.75">
      <c r="A9" s="7">
        <v>8</v>
      </c>
      <c r="B9" s="6" t="s">
        <v>65</v>
      </c>
      <c r="C9" s="6" t="s">
        <v>66</v>
      </c>
      <c r="D9" s="6" t="s">
        <v>67</v>
      </c>
      <c r="E9" s="14" t="s">
        <v>68</v>
      </c>
      <c r="F9" s="6" t="s">
        <v>69</v>
      </c>
      <c r="G9" s="14"/>
    </row>
    <row x14ac:dyDescent="0.25" r="10" customHeight="1" ht="18.75">
      <c r="A10" s="7">
        <v>9</v>
      </c>
      <c r="B10" s="6" t="s">
        <v>70</v>
      </c>
      <c r="C10" s="6" t="s">
        <v>52</v>
      </c>
      <c r="D10" s="6" t="s">
        <v>71</v>
      </c>
      <c r="E10" s="14" t="s">
        <v>72</v>
      </c>
      <c r="F10" s="6" t="s">
        <v>73</v>
      </c>
      <c r="G10" s="14"/>
    </row>
    <row x14ac:dyDescent="0.25" r="11" customHeight="1" ht="18.75">
      <c r="A11" s="7">
        <v>10</v>
      </c>
      <c r="B11" s="6" t="s">
        <v>74</v>
      </c>
      <c r="C11" s="6" t="s">
        <v>75</v>
      </c>
      <c r="D11" s="6" t="s">
        <v>76</v>
      </c>
      <c r="E11" s="14" t="s">
        <v>77</v>
      </c>
      <c r="F11" s="6" t="s">
        <v>78</v>
      </c>
      <c r="G11" s="14"/>
    </row>
    <row x14ac:dyDescent="0.25" r="12" customHeight="1" ht="18.75">
      <c r="A12" s="7">
        <v>11</v>
      </c>
      <c r="B12" s="6" t="s">
        <v>79</v>
      </c>
      <c r="C12" s="6" t="s">
        <v>80</v>
      </c>
      <c r="D12" s="6" t="s">
        <v>48</v>
      </c>
      <c r="E12" s="14" t="s">
        <v>81</v>
      </c>
      <c r="F12" s="6" t="s">
        <v>82</v>
      </c>
      <c r="G12" s="14"/>
    </row>
    <row x14ac:dyDescent="0.25" r="13" customHeight="1" ht="18.75">
      <c r="A13" s="2"/>
      <c r="B13" s="3"/>
      <c r="C13" s="15"/>
      <c r="D13" s="15"/>
      <c r="E13" s="15"/>
      <c r="F13" s="15"/>
      <c r="G13" s="15"/>
    </row>
    <row x14ac:dyDescent="0.25" r="14" customHeight="1" ht="18.75">
      <c r="A14" s="2"/>
      <c r="B14" s="16" t="s">
        <v>83</v>
      </c>
      <c r="C14" s="15"/>
      <c r="D14" s="15"/>
      <c r="E14" s="15"/>
      <c r="F14" s="15"/>
      <c r="G14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5"/>
  <sheetViews>
    <sheetView workbookViewId="0"/>
  </sheetViews>
  <sheetFormatPr defaultRowHeight="15" x14ac:dyDescent="0.25"/>
  <cols>
    <col min="1" max="1" style="11" width="22.005" customWidth="1" bestFit="1"/>
    <col min="2" max="2" style="12" width="16.005" customWidth="1" bestFit="1"/>
    <col min="3" max="3" style="13" width="16.005" customWidth="1" bestFit="1"/>
    <col min="4" max="4" style="13" width="12.005" customWidth="1" bestFit="1"/>
  </cols>
  <sheetData>
    <row x14ac:dyDescent="0.25" r="1" customHeight="1" ht="18.75">
      <c r="A1" s="1" t="s">
        <v>0</v>
      </c>
      <c r="B1" s="2"/>
      <c r="C1" s="2"/>
      <c r="D1" s="2"/>
    </row>
    <row x14ac:dyDescent="0.25" r="2" customHeight="1" ht="18.75">
      <c r="A2" s="3"/>
      <c r="B2" s="2"/>
      <c r="C2" s="2"/>
      <c r="D2" s="2"/>
    </row>
    <row x14ac:dyDescent="0.25" r="3" customHeight="1" ht="18.75">
      <c r="A3" s="4" t="s">
        <v>1</v>
      </c>
      <c r="B3" s="5" t="s">
        <v>2</v>
      </c>
      <c r="C3" s="5" t="s">
        <v>3</v>
      </c>
      <c r="D3" s="5" t="s">
        <v>4</v>
      </c>
    </row>
    <row x14ac:dyDescent="0.25" r="4" customHeight="1" ht="18.75">
      <c r="A4" s="6" t="s">
        <v>5</v>
      </c>
      <c r="B4" s="7">
        <f>COUNTIF(&amp;apos;Casos Manuais&amp;apos;!$I$2:$I$53,A4)</f>
      </c>
      <c r="C4" s="7">
        <f>COUNTIF(&amp;apos;Casos API&amp;apos;!$H$2:$H$50,A4)</f>
      </c>
      <c r="D4" s="7">
        <f>B4+C4</f>
      </c>
    </row>
    <row x14ac:dyDescent="0.25" r="5" customHeight="1" ht="18.75">
      <c r="A5" s="6" t="s">
        <v>6</v>
      </c>
      <c r="B5" s="7">
        <f>COUNTIF(&amp;apos;Casos Manuais&amp;apos;!$I$2:$I$53,A5)</f>
      </c>
      <c r="C5" s="7">
        <f>COUNTIF(&amp;apos;Casos API&amp;apos;!$H$2:$H$50,A5)</f>
      </c>
      <c r="D5" s="7">
        <f>B5+C5</f>
      </c>
    </row>
    <row x14ac:dyDescent="0.25" r="6" customHeight="1" ht="18.75">
      <c r="A6" s="6" t="s">
        <v>7</v>
      </c>
      <c r="B6" s="7">
        <f>COUNTIF(&amp;apos;Casos Manuais&amp;apos;!$I$2:$I$53,A6)</f>
      </c>
      <c r="C6" s="7">
        <f>COUNTIF(&amp;apos;Casos API&amp;apos;!$H$2:$H$50,A6)</f>
      </c>
      <c r="D6" s="7">
        <f>B6+C6</f>
      </c>
    </row>
    <row x14ac:dyDescent="0.25" r="7" customHeight="1" ht="18.75">
      <c r="A7" s="6" t="s">
        <v>8</v>
      </c>
      <c r="B7" s="7">
        <f>COUNTIF(&amp;apos;Casos Manuais&amp;apos;!$I$2:$I$53,A7)</f>
      </c>
      <c r="C7" s="7">
        <f>COUNTIF(&amp;apos;Casos API&amp;apos;!$H$2:$H$50,A7)</f>
      </c>
      <c r="D7" s="7">
        <f>B7+C7</f>
      </c>
    </row>
    <row x14ac:dyDescent="0.25" r="8" customHeight="1" ht="18.75">
      <c r="A8" s="6" t="s">
        <v>9</v>
      </c>
      <c r="B8" s="7">
        <f>COUNTIF(&amp;apos;Casos Manuais&amp;apos;!$I$2:$I$53,A8)</f>
      </c>
      <c r="C8" s="7">
        <f>COUNTIF(&amp;apos;Casos API&amp;apos;!$H$2:$H$50,A8)</f>
      </c>
      <c r="D8" s="7">
        <f>B8+C8</f>
      </c>
    </row>
    <row x14ac:dyDescent="0.25" r="9" customHeight="1" ht="18.75">
      <c r="A9" s="8" t="s">
        <v>4</v>
      </c>
      <c r="B9" s="9">
        <f>SUM(B4:B8)</f>
      </c>
      <c r="C9" s="9">
        <f>SUM(C4:C8)</f>
      </c>
      <c r="D9" s="9">
        <f>SUM(D4:D8)</f>
      </c>
    </row>
    <row x14ac:dyDescent="0.25" r="10" customHeight="1" ht="18.75">
      <c r="A10" s="6" t="s">
        <v>10</v>
      </c>
      <c r="B10" s="10">
        <f>IF(B9=0,0,(B9-B8)/B9)</f>
      </c>
      <c r="C10" s="10">
        <f>IF(C9=0,0,(C9-C8)/C9)</f>
      </c>
      <c r="D10" s="10">
        <f>IF(D9=0,0,(D9-D8)/D9)</f>
      </c>
    </row>
    <row x14ac:dyDescent="0.25" r="11" customHeight="1" ht="18.75">
      <c r="A11" s="3"/>
      <c r="B11" s="2"/>
      <c r="C11" s="2"/>
      <c r="D11" s="2"/>
    </row>
    <row x14ac:dyDescent="0.25" r="12" customHeight="1" ht="18.75">
      <c r="A12" s="4" t="s">
        <v>11</v>
      </c>
      <c r="B12" s="5" t="s">
        <v>4</v>
      </c>
      <c r="C12" s="5" t="s">
        <v>5</v>
      </c>
      <c r="D12" s="5" t="s">
        <v>6</v>
      </c>
    </row>
    <row x14ac:dyDescent="0.25" r="13" customHeight="1" ht="18.75">
      <c r="A13" s="6" t="s">
        <v>12</v>
      </c>
      <c r="B13" s="7">
        <f>COUNTIF(&amp;apos;Casos Manuais&amp;apos;!$B$2:$B$53,A13)</f>
      </c>
      <c r="C13" s="7">
        <f>COUNTIFS(&amp;apos;Casos Manuais&amp;apos;!$B$2:$B$53,A13,&amp;apos;Casos Manuais&amp;apos;!$I$2:$I$53,"Passou")</f>
      </c>
      <c r="D13" s="7">
        <f>COUNTIFS(&amp;apos;Casos Manuais&amp;apos;!$B$2:$B$53,A13,&amp;apos;Casos Manuais&amp;apos;!$I$2:$I$53,"Falhou")</f>
      </c>
    </row>
    <row x14ac:dyDescent="0.25" r="14" customHeight="1" ht="18.75">
      <c r="A14" s="6" t="s">
        <v>13</v>
      </c>
      <c r="B14" s="7">
        <f>COUNTIF(&amp;apos;Casos Manuais&amp;apos;!$B$2:$B$53,A14)</f>
      </c>
      <c r="C14" s="7">
        <f>COUNTIFS(&amp;apos;Casos Manuais&amp;apos;!$B$2:$B$53,A14,&amp;apos;Casos Manuais&amp;apos;!$I$2:$I$53,"Passou")</f>
      </c>
      <c r="D14" s="7">
        <f>COUNTIFS(&amp;apos;Casos Manuais&amp;apos;!$B$2:$B$53,A14,&amp;apos;Casos Manuais&amp;apos;!$I$2:$I$53,"Falhou")</f>
      </c>
    </row>
    <row x14ac:dyDescent="0.25" r="15" customHeight="1" ht="18.75">
      <c r="A15" s="6" t="s">
        <v>14</v>
      </c>
      <c r="B15" s="7">
        <f>COUNTIF(&amp;apos;Casos Manuais&amp;apos;!$B$2:$B$53,A15)</f>
      </c>
      <c r="C15" s="7">
        <f>COUNTIFS(&amp;apos;Casos Manuais&amp;apos;!$B$2:$B$53,A15,&amp;apos;Casos Manuais&amp;apos;!$I$2:$I$53,"Passou")</f>
      </c>
      <c r="D15" s="7">
        <f>COUNTIFS(&amp;apos;Casos Manuais&amp;apos;!$B$2:$B$53,A15,&amp;apos;Casos Manuais&amp;apos;!$I$2:$I$53,"Falhou")</f>
      </c>
    </row>
    <row x14ac:dyDescent="0.25" r="16" customHeight="1" ht="18.75">
      <c r="A16" s="6" t="s">
        <v>15</v>
      </c>
      <c r="B16" s="7">
        <f>COUNTIF(&amp;apos;Casos Manuais&amp;apos;!$B$2:$B$53,A16)</f>
      </c>
      <c r="C16" s="7">
        <f>COUNTIFS(&amp;apos;Casos Manuais&amp;apos;!$B$2:$B$53,A16,&amp;apos;Casos Manuais&amp;apos;!$I$2:$I$53,"Passou")</f>
      </c>
      <c r="D16" s="7">
        <f>COUNTIFS(&amp;apos;Casos Manuais&amp;apos;!$B$2:$B$53,A16,&amp;apos;Casos Manuais&amp;apos;!$I$2:$I$53,"Falhou")</f>
      </c>
    </row>
    <row x14ac:dyDescent="0.25" r="17" customHeight="1" ht="18.75">
      <c r="A17" s="6" t="s">
        <v>16</v>
      </c>
      <c r="B17" s="7">
        <f>COUNTIF(&amp;apos;Casos Manuais&amp;apos;!$B$2:$B$53,A17)</f>
      </c>
      <c r="C17" s="7">
        <f>COUNTIFS(&amp;apos;Casos Manuais&amp;apos;!$B$2:$B$53,A17,&amp;apos;Casos Manuais&amp;apos;!$I$2:$I$53,"Passou")</f>
      </c>
      <c r="D17" s="7">
        <f>COUNTIFS(&amp;apos;Casos Manuais&amp;apos;!$B$2:$B$53,A17,&amp;apos;Casos Manuais&amp;apos;!$I$2:$I$53,"Falhou")</f>
      </c>
    </row>
    <row x14ac:dyDescent="0.25" r="18" customHeight="1" ht="18.75">
      <c r="A18" s="6" t="s">
        <v>17</v>
      </c>
      <c r="B18" s="7">
        <f>COUNTIF(&amp;apos;Casos Manuais&amp;apos;!$B$2:$B$53,A18)</f>
      </c>
      <c r="C18" s="7">
        <f>COUNTIFS(&amp;apos;Casos Manuais&amp;apos;!$B$2:$B$53,A18,&amp;apos;Casos Manuais&amp;apos;!$I$2:$I$53,"Passou")</f>
      </c>
      <c r="D18" s="7">
        <f>COUNTIFS(&amp;apos;Casos Manuais&amp;apos;!$B$2:$B$53,A18,&amp;apos;Casos Manuais&amp;apos;!$I$2:$I$53,"Falhou")</f>
      </c>
    </row>
    <row x14ac:dyDescent="0.25" r="19" customHeight="1" ht="18.75">
      <c r="A19" s="3"/>
      <c r="B19" s="2"/>
      <c r="C19" s="2"/>
      <c r="D19" s="2"/>
    </row>
    <row x14ac:dyDescent="0.25" r="20" customHeight="1" ht="18.75">
      <c r="A20" s="4" t="s">
        <v>18</v>
      </c>
      <c r="B20" s="5" t="s">
        <v>19</v>
      </c>
      <c r="C20" s="2"/>
      <c r="D20" s="2"/>
    </row>
    <row x14ac:dyDescent="0.25" r="21" customHeight="1" ht="18.75">
      <c r="A21" s="6" t="s">
        <v>4</v>
      </c>
      <c r="B21" s="7">
        <f>COUNTA(Bugs!A3:A31)</f>
      </c>
      <c r="C21" s="2"/>
      <c r="D21" s="2"/>
    </row>
    <row x14ac:dyDescent="0.25" r="22" customHeight="1" ht="18.75">
      <c r="A22" s="6" t="s">
        <v>20</v>
      </c>
      <c r="B22" s="7">
        <f>COUNTIF(Bugs!C3:C31,"Crítica")</f>
      </c>
      <c r="C22" s="2"/>
      <c r="D22" s="2"/>
    </row>
    <row x14ac:dyDescent="0.25" r="23" customHeight="1" ht="18.75">
      <c r="A23" s="6" t="s">
        <v>21</v>
      </c>
      <c r="B23" s="7">
        <f>COUNTIF(Bugs!C3:C31,"Alta")</f>
      </c>
      <c r="C23" s="2"/>
      <c r="D23" s="2"/>
    </row>
    <row x14ac:dyDescent="0.25" r="24" customHeight="1" ht="18.75">
      <c r="A24" s="6" t="s">
        <v>22</v>
      </c>
      <c r="B24" s="7">
        <f>COUNTIF(Bugs!C3:C31,"Média")</f>
      </c>
      <c r="C24" s="2"/>
      <c r="D24" s="2"/>
    </row>
    <row x14ac:dyDescent="0.25" r="25" customHeight="1" ht="18.75">
      <c r="A25" s="6" t="s">
        <v>23</v>
      </c>
      <c r="B25" s="7">
        <f>COUNTIF(Bugs!C3:C31,"Baixa")</f>
      </c>
      <c r="C25" s="2"/>
      <c r="D2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Legenda</vt:lpstr>
      <vt:lpstr>Calculadora</vt:lpstr>
      <vt:lpstr>Produtos e Cupons</vt:lpstr>
      <vt:lpstr>Casos Manuais</vt:lpstr>
      <vt:lpstr>Casos API</vt:lpstr>
      <vt:lpstr>Bugs</vt:lpstr>
      <vt:lpstr>Ambiguidades</vt:lpstr>
      <vt:lpstr>Resumo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2026-10-09T19:08:05.180Z</dcterms:created>
  <dcterms:modified xsi:type="dcterms:W3CDTF">2026-10-09T19:08:05.180Z</dcterms:modified>
</cp:coreProperties>
</file>